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5a305b03c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9c47cbe39d7d4cf9"/>
    <x:sheet xmlns:r="http://schemas.openxmlformats.org/officeDocument/2006/relationships" name="Dashboard" sheetId="2" r:id="R3db2a453c75d431d"/>
    <x:sheet xmlns:r="http://schemas.openxmlformats.org/officeDocument/2006/relationships" name="Lists &amp; Setup" sheetId="3" r:id="R0cf425c0624948c9"/>
    <x:sheet xmlns:r="http://schemas.openxmlformats.org/officeDocument/2006/relationships" name="Progress Curve" sheetId="4" r:id="R11acf1069f22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yyyy-mm-dd"/>
    <x:numFmt numFmtId="202" formatCode="0.0"/>
    <x:numFmt numFmtId="203" formatCode="mmm d, yyyy"/>
    <x:numFmt numFmtId="204" formatCode="0"/>
    <x:numFmt numFmtId="205" formatCode="m/d/yyyy h:mm"/>
    <x:numFmt numFmtId="206" formatCode="0.000"/>
    <x:numFmt numFmtId="207" formatCode="m/d/yyyy"/>
  </x:numFmts>
  <x:fonts count="2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8"/>
      <x:color rgb="FF1E2A26"/>
      <x:name val="Aptos"/>
    </x:font>
    <x:font>
      <x:sz val="11"/>
      <x:color rgb="FF1E2A26"/>
      <x:name val="Aptos"/>
    </x:font>
    <x:font>
      <x:b/>
      <x:sz val="11"/>
      <x:color rgb="FF1E2A26"/>
      <x:name val="Aptos"/>
    </x:font>
    <x:font>
      <x:b/>
      <x:sz val="18"/>
      <x:color rgb="FFFFFFFF"/>
      <x:name val="Aptos"/>
    </x:font>
    <x:font>
      <x:b/>
      <x:sz val="11"/>
      <x:color rgb="FFFFFFFF"/>
      <x:name val="Aptos"/>
    </x:font>
    <x:font>
      <x:b/>
      <x:sz val="11"/>
      <x:color rgb="FF1E2A26"/>
      <x:name val="Carlito"/>
    </x:font>
    <x:font>
      <x:i/>
      <x:sz val="11"/>
      <x:color rgb="FF66736E"/>
      <x:name val="Carlito"/>
    </x:font>
    <x:font>
      <x:sz val="10"/>
      <x:color rgb="FF1E2A26"/>
      <x:name val="Aptos"/>
    </x:font>
    <x:font>
      <x:i/>
      <x:sz val="11"/>
      <x:color rgb="FF1E2A26"/>
      <x:name val="Aptos"/>
    </x:font>
    <x:font>
      <x:b/>
      <x:sz val="16"/>
      <x:color rgb="FF1E2A26"/>
      <x:name val="Carlito"/>
    </x:font>
    <x:font>
      <x:b/>
      <x:sz val="16"/>
      <x:color rgb="FF1E2A26"/>
      <x:name val="Aptos"/>
    </x:font>
    <x:font>
      <x:b/>
      <x:sz val="11"/>
      <x:color rgb="FF243832"/>
      <x:name val="Carlito"/>
    </x:font>
    <x:font>
      <x:i/>
      <x:sz val="11"/>
      <x:color rgb="FFB42318"/>
      <x:name val="Carlito"/>
    </x:font>
    <x:font>
      <x:i/>
      <x:sz val="11"/>
      <x:color rgb="FF587069"/>
      <x:name val="Carlito"/>
    </x:font>
    <x:font>
      <x:sz val="10"/>
      <x:color rgb="FF243832"/>
      <x:name val="Carlito"/>
    </x:font>
    <x:font>
      <x:i/>
      <x:sz val="11"/>
      <x:color rgb="FF23463B"/>
      <x:name val="Carlito"/>
    </x:font>
    <x:font>
      <x:sz val="11"/>
      <x:color rgb="FF24383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4211D"/>
      </x:patternFill>
    </x:fill>
    <x:fill>
      <x:patternFill patternType="solid">
        <x:fgColor rgb="FF0B765D"/>
      </x:patternFill>
    </x:fill>
    <x:fill>
      <x:patternFill patternType="solid">
        <x:fgColor rgb="FFF47A3A"/>
      </x:patternFill>
    </x:fill>
    <x:fill>
      <x:patternFill patternType="solid">
        <x:fgColor rgb="FFE9F5F0"/>
      </x:patternFill>
    </x:fill>
    <x:fill>
      <x:patternFill patternType="solid">
        <x:fgColor rgb="FFF6F8F7"/>
      </x:patternFill>
    </x:fill>
    <x:fill>
      <x:patternFill patternType="solid">
        <x:fgColor rgb="FFFFFFFF"/>
      </x:patternFill>
    </x:fill>
    <x:fill>
      <x:patternFill patternType="solid">
        <x:fgColor rgb="FF10231D"/>
      </x:patternFill>
    </x:fill>
    <x:fill>
      <x:patternFill patternType="solid">
        <x:fgColor rgb="FF0C8065"/>
      </x:patternFill>
    </x:fill>
    <x:fill>
      <x:patternFill patternType="solid">
        <x:fgColor rgb="FFE7F4EF"/>
      </x:patternFill>
    </x:fill>
    <x:fill>
      <x:patternFill patternType="solid">
        <x:fgColor rgb="FFF3F7F5"/>
      </x:patternFill>
    </x:fill>
    <x:fill>
      <x:patternFill patternType="solid">
        <x:fgColor rgb="FFFFF8E6"/>
      </x:patternFill>
    </x:fill>
    <x:fill>
      <x:patternFill patternType="solid">
        <x:fgColor rgb="FF10231D"/>
      </x:patternFill>
    </x:fill>
    <x:fill>
      <x:patternFill patternType="solid">
        <x:fgColor rgb="FFE7F4EF"/>
      </x:patternFill>
    </x:fill>
    <x:fill>
      <x:patternFill patternType="solid">
        <x:fgColor rgb="FF0C8065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/>
    <x:xf numFmtId="0" fontId="5" fillId="4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8" fillId="5" borderId="0" xfId="0" applyNumberFormat="1" applyFont="1" applyFill="1" applyBorder="1"/>
    <x:xf numFmtId="201" fontId="0" fillId="0" borderId="1" xfId="0" applyNumberFormat="1" applyFont="1" applyFill="1" applyBorder="1"/>
    <x:xf numFmtId="201" fontId="8" fillId="5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0" fontId="10" fillId="0" borderId="0" xfId="0" applyNumberFormat="1" applyFont="1" applyFill="1" applyBorder="1"/>
    <x:xf numFmtId="202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201" fontId="10" fillId="0" borderId="0" xfId="0" applyNumberFormat="1" applyFont="1" applyFill="1" applyBorder="1" applyAlignment="1">
      <x:alignment vertical="top"/>
    </x:xf>
    <x:xf numFmtId="200" fontId="10" fillId="0" borderId="0" xfId="0" applyNumberFormat="1" applyFont="1" applyFill="1" applyBorder="1" applyAlignment="1">
      <x:alignment vertical="top"/>
    </x:xf>
    <x:xf numFmtId="202" fontId="10" fillId="0" borderId="0" xfId="0" applyNumberFormat="1" applyFont="1" applyFill="1" applyBorder="1" applyAlignment="1">
      <x:alignment vertical="top"/>
    </x:xf>
    <x:xf numFmtId="0" fontId="10" fillId="0" borderId="1" xfId="0" applyNumberFormat="1" applyFont="1" applyFill="1" applyBorder="1"/>
    <x:xf numFmtId="201" fontId="10" fillId="0" borderId="1" xfId="0" applyNumberFormat="1" applyFont="1" applyFill="1" applyBorder="1"/>
    <x:xf numFmtId="200" fontId="10" fillId="0" borderId="1" xfId="0" applyNumberFormat="1" applyFont="1" applyFill="1" applyBorder="1"/>
    <x:xf numFmtId="202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top"/>
    </x:xf>
    <x:xf numFmtId="201" fontId="10" fillId="0" borderId="1" xfId="0" applyNumberFormat="1" applyFont="1" applyFill="1" applyBorder="1" applyAlignment="1">
      <x:alignment vertical="top"/>
    </x:xf>
    <x:xf numFmtId="200" fontId="10" fillId="0" borderId="1" xfId="0" applyNumberFormat="1" applyFont="1" applyFill="1" applyBorder="1" applyAlignment="1">
      <x:alignment vertical="top"/>
    </x:xf>
    <x:xf numFmtId="202" fontId="10" fillId="0" borderId="1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/>
    </x:xf>
    <x:xf numFmtId="0" fontId="10" fillId="6" borderId="1" xfId="0" applyNumberFormat="1" applyFont="1" applyFill="1" applyBorder="1" applyAlignment="1">
      <x:alignment vertical="top"/>
    </x:xf>
    <x:xf numFmtId="200" fontId="10" fillId="6" borderId="0" xfId="0" applyNumberFormat="1" applyFont="1" applyFill="1" applyBorder="1" applyAlignment="1">
      <x:alignment vertical="top"/>
    </x:xf>
    <x:xf numFmtId="200" fontId="10" fillId="6" borderId="1" xfId="0" applyNumberFormat="1" applyFont="1" applyFill="1" applyBorder="1" applyAlignment="1">
      <x:alignment vertical="top"/>
    </x:xf>
    <x:xf numFmtId="0" fontId="10" fillId="6" borderId="0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/>
    </x:xf>
    <x:xf numFmtId="0" fontId="10" fillId="7" borderId="0" xfId="0" applyNumberFormat="1" applyFont="1" applyFill="1" applyBorder="1" applyAlignment="1">
      <x:alignment vertical="top" wrapText="1"/>
    </x:xf>
    <x:xf numFmtId="201" fontId="10" fillId="7" borderId="0" xfId="0" applyNumberFormat="1" applyFont="1" applyFill="1" applyBorder="1" applyAlignment="1">
      <x:alignment vertical="top"/>
    </x:xf>
    <x:xf numFmtId="0" fontId="10" fillId="7" borderId="1" xfId="0" applyNumberFormat="1" applyFont="1" applyFill="1" applyBorder="1" applyAlignment="1">
      <x:alignment vertical="top"/>
    </x:xf>
    <x:xf numFmtId="0" fontId="10" fillId="7" borderId="1" xfId="0" applyNumberFormat="1" applyFont="1" applyFill="1" applyBorder="1" applyAlignment="1">
      <x:alignment vertical="top" wrapText="1"/>
    </x:xf>
    <x:xf numFmtId="201" fontId="10" fillId="7" borderId="1" xfId="0" applyNumberFormat="1" applyFont="1" applyFill="1" applyBorder="1" applyAlignment="1">
      <x:alignment vertical="top"/>
    </x:xf>
    <x:xf numFmtId="200" fontId="10" fillId="7" borderId="0" xfId="0" applyNumberFormat="1" applyFont="1" applyFill="1" applyBorder="1" applyAlignment="1">
      <x:alignment vertical="top"/>
    </x:xf>
    <x:xf numFmtId="200" fontId="10" fillId="7" borderId="1" xfId="0" applyNumberFormat="1" applyFont="1" applyFill="1" applyBorder="1" applyAlignment="1">
      <x:alignment vertical="top"/>
    </x:xf>
    <x:xf numFmtId="202" fontId="10" fillId="7" borderId="0" xfId="0" applyNumberFormat="1" applyFont="1" applyFill="1" applyBorder="1" applyAlignment="1">
      <x:alignment vertical="top"/>
    </x:xf>
    <x:xf numFmtId="202" fontId="10" fillId="7" borderId="1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201" fontId="4" fillId="0" borderId="0" xfId="0" applyNumberFormat="1" applyFont="1" applyFill="1" applyBorder="1"/>
    <x:xf numFmtId="201" fontId="5" fillId="5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/>
    <x:xf numFmtId="201" fontId="4" fillId="0" borderId="1" xfId="0" applyNumberFormat="1" applyFont="1" applyFill="1" applyBorder="1"/>
    <x:xf numFmtId="201" fontId="5" fillId="5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 vertical="center"/>
    </x:xf>
    <x:xf numFmtId="200" fontId="12" fillId="7" borderId="0" xfId="0" applyNumberFormat="1" applyFont="1" applyFill="1" applyBorder="1" applyAlignment="1">
      <x:alignment horizontal="center" vertical="center"/>
    </x:xf>
    <x:xf numFmtId="200" fontId="12" fillId="7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horizontal="center" vertical="center"/>
    </x:xf>
    <x:xf numFmtId="200" fontId="13" fillId="7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 wrapText="1"/>
    </x:xf>
    <x:xf numFmtId="0" fontId="13" fillId="7" borderId="1" xfId="0" applyNumberFormat="1" applyFont="1" applyFill="1" applyBorder="1" applyAlignment="1">
      <x:alignment horizontal="center" vertical="center"/>
    </x:xf>
    <x:xf numFmtId="200" fontId="13" fillId="7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11" fillId="5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 applyAlignment="1">
      <x:alignment horizontal="center" vertical="center"/>
    </x:xf>
    <x:xf numFmtId="203" fontId="14" fillId="10" borderId="0" xfId="0" applyNumberFormat="1" applyFont="1" applyFill="1" applyBorder="1" applyAlignment="1">
      <x:alignment horizontal="center" vertical="center"/>
    </x:xf>
    <x:xf numFmtId="200" fontId="14" fillId="10" borderId="0" xfId="0" applyNumberFormat="1" applyFont="1" applyFill="1" applyBorder="1" applyAlignment="1">
      <x:alignment horizontal="center" vertical="center"/>
    </x:xf>
    <x:xf numFmtId="204" fontId="14" fillId="1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17" fillId="0" borderId="0" xfId="0" applyNumberFormat="1" applyFont="1" applyFill="1" applyBorder="1"/>
    <x:xf numFmtId="200" fontId="17" fillId="0" borderId="0" xfId="0" applyNumberFormat="1" applyFont="1" applyFill="1" applyBorder="1"/>
    <x:xf numFmtId="0" fontId="17" fillId="0" borderId="0" xfId="0" applyNumberFormat="1" applyFont="1" applyFill="1" applyBorder="1"/>
    <x:xf numFmtId="200" fontId="17" fillId="11" borderId="0" xfId="0" applyNumberFormat="1" applyFont="1" applyFill="1" applyBorder="1"/>
    <x:xf numFmtId="0" fontId="17" fillId="11" borderId="0" xfId="0" applyNumberFormat="1" applyFont="1" applyFill="1" applyBorder="1"/>
    <x:xf numFmtId="203" fontId="0" fillId="12" borderId="0" xfId="0" applyNumberFormat="1" applyFont="1" applyFill="1" applyBorder="1"/>
    <x:xf numFmtId="200" fontId="0" fillId="12" borderId="0" xfId="0" applyNumberFormat="1" applyFont="1" applyFill="1" applyBorder="1"/>
    <x:xf numFmtId="0" fontId="0" fillId="12" borderId="0" xfId="0" applyNumberFormat="1" applyFont="1" applyFill="1" applyBorder="1"/>
    <x:xf numFmtId="203" fontId="17" fillId="12" borderId="0" xfId="0" applyNumberFormat="1" applyFont="1" applyFill="1" applyBorder="1"/>
    <x:xf numFmtId="200" fontId="17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wrapText="1"/>
    </x:xf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wrapText="1"/>
    </x:xf>
    <x:xf numFmtId="0" fontId="18" fillId="10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6" fillId="14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vertical="center"/>
    </x:xf>
    <x:xf numFmtId="203" fontId="14" fillId="14" borderId="0" xfId="0" applyNumberFormat="1" applyFont="1" applyFill="1" applyBorder="1" applyAlignment="1">
      <x:alignment horizontal="center" vertical="center"/>
    </x:xf>
    <x:xf numFmtId="200" fontId="14" fillId="14" borderId="0" xfId="0" applyNumberFormat="1" applyFont="1" applyFill="1" applyBorder="1" applyAlignment="1">
      <x:alignment horizontal="center" vertical="center"/>
    </x:xf>
    <x:xf numFmtId="204" fontId="14" fillId="14" borderId="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  <x:dxfs count="16">
    <x:dxf>
      <x:font>
        <x:b/>
        <x:color rgb="FFC0392B"/>
      </x:font>
    </x:dxf>
    <x:dxf>
      <x:font>
        <x:b/>
        <x:color rgb="FF13866B"/>
      </x:font>
    </x:dxf>
    <x:dxf>
      <x:font>
        <x:b/>
        <x:color rgb="FFC0392B"/>
      </x:font>
      <x:fill>
        <x:patternFill>
          <x:bgColor rgb="FFFADBD8"/>
        </x:patternFill>
      </x:fill>
    </x:dxf>
    <x:dxf>
      <x:font>
        <x:b/>
        <x:color rgb="FF9A6400"/>
      </x:font>
      <x:fill>
        <x:patternFill>
          <x:bgColor rgb="FFFDEBD0"/>
        </x:patternFill>
      </x:fill>
    </x:dxf>
    <x:dxf>
      <x:font>
        <x:b/>
        <x:color rgb="FF7B241C"/>
      </x:font>
      <x:fill>
        <x:patternFill>
          <x:bgColor rgb="FFF5B7B1"/>
        </x:patternFill>
      </x:fill>
    </x:dxf>
    <x:dxf>
      <x:font>
        <x:b/>
        <x:color rgb="FF7D6608"/>
      </x:font>
      <x:fill>
        <x:patternFill>
          <x:bgColor rgb="FFFCF3CF"/>
        </x:patternFill>
      </x:fill>
    </x:dxf>
    <x:dxf>
      <x:font>
        <x:b/>
        <x:color rgb="FF196F3D"/>
      </x:font>
      <x:fill>
        <x:patternFill>
          <x:bgColor rgb="FFD5F5E3"/>
        </x:patternFill>
      </x:fill>
    </x:dxf>
    <x:dxf>
      <x:font>
        <x:b/>
        <x:color rgb="FF145A32"/>
      </x:font>
      <x:fill>
        <x:patternFill>
          <x:bgColor rgb="FFD4EFDF"/>
        </x:patternFill>
      </x:fill>
    </x:dxf>
    <x:dxf>
      <x:font>
        <x:b/>
        <x:color rgb="FFC0392B"/>
      </x:font>
    </x:dxf>
    <x:dxf>
      <x:font>
        <x:b/>
        <x:color rgb="FF13866B"/>
      </x:font>
    </x:dxf>
    <x:dxf>
      <x:font>
        <x:b/>
        <x:color rgb="FFFFFFFF"/>
      </x:font>
      <x:fill>
        <x:patternFill>
          <x:bgColor rgb="FFC0392B"/>
        </x:patternFill>
      </x:fill>
    </x:dxf>
    <x:dxf>
      <x:font>
        <x:b/>
        <x:color rgb="FFFFFFFF"/>
      </x:font>
      <x:fill>
        <x:patternFill>
          <x:bgColor rgb="FF14866D"/>
        </x:patternFill>
      </x:fill>
    </x:dxf>
    <x:dxf>
      <x:font>
        <x:color rgb="FF1F6B45"/>
      </x:font>
      <x:fill>
        <x:patternFill>
          <x:bgColor rgb="FFE4F5EC"/>
        </x:patternFill>
      </x:fill>
    </x:dxf>
    <x:dxf>
      <x:font>
        <x:color rgb="FF8A5A00"/>
      </x:font>
      <x:fill>
        <x:patternFill>
          <x:bgColor rgb="FFFFF3D6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9ebc137434b8d" /><Relationship Type="http://schemas.openxmlformats.org/officeDocument/2006/relationships/theme" Target="/xl/theme/theme1.xml" Id="Rb014b7e0e8c94bb4" /><Relationship Type="http://schemas.openxmlformats.org/officeDocument/2006/relationships/sharedStrings" Target="/xl/sharedStrings.xml" Id="R71163610504f49b6" /><Relationship Type="http://schemas.openxmlformats.org/officeDocument/2006/relationships/worksheet" Target="/xl/worksheets/sheet1.xml" Id="R9c47cbe39d7d4cf9" /><Relationship Type="http://schemas.openxmlformats.org/officeDocument/2006/relationships/worksheet" Target="/xl/worksheets/sheet2.xml" Id="R3db2a453c75d431d" /><Relationship Type="http://schemas.openxmlformats.org/officeDocument/2006/relationships/worksheet" Target="/xl/worksheets/sheet3.xml" Id="R0cf425c0624948c9" /><Relationship Type="http://schemas.openxmlformats.org/officeDocument/2006/relationships/worksheet" Target="/xl/worksheets/sheet4.xml" Id="R11acf1069f2242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2f89d8b15744cd" /><Relationship Type="http://schemas.openxmlformats.org/officeDocument/2006/relationships/chart" Target="/xl/drawings/charts/chart2.xml" Id="R35e6157d35074210" /><Relationship Type="http://schemas.openxmlformats.org/officeDocument/2006/relationships/chart" Target="/xl/drawings/charts/chart3.xml" Id="R9ef897df785944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'Dashboard'!$B$12:$B$16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'Dashboard'!$D$12:$D$19</c:f>
              <c:strCache>
                <c:ptCount val="0"/>
              </c:strCache>
            </c:strRef>
          </c:cat>
          <c:val>
            <c:numRef>
              <c:f>'Dashboard'!$E$12:$E$19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vs Actual Progress — Worm Chart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Planned Progress</c:v>
          </c:tx>
          <c:marker>
            <c:symbol val="none"/>
          </c:marker>
          <c:cat>
            <c:strRef>
              <c:f>'Progress Curve'!$M$7:$M$376</c:f>
              <c:strCache>
                <c:ptCount val="0"/>
              </c:strCache>
            </c:strRef>
          </c:cat>
          <c:val>
            <c:numRef>
              <c:f>'Progress Curve'!$N$7:$N$376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Actual Progress</c:v>
          </c:tx>
          <c:marker>
            <c:symbol val="none"/>
          </c:marker>
          <c:cat>
            <c:strRef>
              <c:f>'Progress Curve'!$M$7:$M$376</c:f>
              <c:strCache>
                <c:ptCount val="0"/>
              </c:strCache>
            </c:strRef>
          </c:cat>
          <c:val>
            <c:numRef>
              <c:f>'Progress Curve'!$O$7:$O$376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Date</a:t>
                </a:r>
              </a:p>
            </c:rich>
          </c:tx>
        </c:title>
        <c:numFmt formatCode="General"/>
        <c:majorTickMark val="none"/>
        <c:minorTickMark val="none"/>
        <c:tickLblPos val="nextTo"/>
        <c:tickLblSkip val="7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Progress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4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2f89d8b15744cd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e6157d35074210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f897df785944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sks" displayName="ProjectTasks" ref="A6:S206" headerRowCount="1" totalsRowCount="0" totalsRowShown="0">
  <x:tableColumns count="19">
    <x:tableColumn id="1" name="Task ID"/>
    <x:tableColumn id="2" name="Phase"/>
    <x:tableColumn id="3" name="Task / Deliverable"/>
    <x:tableColumn id="4" name="Owner"/>
    <x:tableColumn id="5" name="Priority"/>
    <x:tableColumn id="6" name="Start Date"/>
    <x:tableColumn id="7" name="Due Date"/>
    <x:tableColumn id="8" name="Duration"/>
    <x:tableColumn id="9" name="Status"/>
    <x:tableColumn id="10" name="Completed Units"/>
    <x:tableColumn id="11" name="Total Units"/>
    <x:tableColumn id="12" name="Manual Progress %"/>
    <x:tableColumn id="13" name="Progress %"/>
    <x:tableColumn id="14" name="Planned %"/>
    <x:tableColumn id="15" name="Variance %"/>
    <x:tableColumn id="16" name="Weight"/>
    <x:tableColumn id="17" name="Dependency"/>
    <x:tableColumn id="18" name="Health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4e3aae6ea148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dd373aa4b4445c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34" hidden="0" customWidth="1"/>
    <x:col min="4" max="4" width="18" hidden="0" customWidth="1"/>
    <x:col min="5" max="5" width="11" hidden="0" customWidth="1"/>
    <x:col min="6" max="6" width="12" hidden="0" customWidth="1"/>
    <x:col min="7" max="7" width="12" hidden="0" customWidth="1"/>
    <x:col min="8" max="8" width="10" hidden="0" customWidth="1"/>
    <x:col min="9" max="9" width="13" hidden="0" customWidth="1"/>
    <x:col min="10" max="10" width="12" hidden="0" customWidth="1"/>
    <x:col min="11" max="11" width="11" hidden="0" customWidth="1"/>
    <x:col min="12" max="12" width="15" hidden="0" customWidth="1"/>
    <x:col min="13" max="13" width="13" hidden="0" customWidth="1"/>
    <x:col min="14" max="14" width="12" hidden="0" customWidth="1"/>
    <x:col min="15" max="15" width="11" hidden="0" customWidth="1"/>
    <x:col min="16" max="16" width="9" hidden="0" customWidth="1"/>
    <x:col min="17" max="17" width="20" hidden="0" customWidth="1"/>
    <x:col min="18" max="18" width="12" hidden="0" customWidth="1"/>
    <x:col min="19" max="19" width="30" hidden="0" customWidth="1"/>
  </x:cols>
  <x:sheetData>
    <x:row r="1" ht="28" customHeight="1">
      <x:c r="A1" s="38" t="str">
        <x:v>Project Planning &amp; Progress Tracker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</x:row>
    <x:row r="2">
      <x:c r="A2" s="100" t="str">
        <x:v>Project Name</x:v>
      </x:c>
      <x:c r="B2" s="25" t="str"/>
      <x:c r="C2" s="25"/>
      <x:c r="D2" s="101" t="str">
        <x:v>Project Manager</x:v>
      </x:c>
      <x:c r="E2" s="25" t="str"/>
      <x:c r="F2" s="25"/>
      <x:c r="G2" s="101" t="str">
        <x:v>Project Start</x:v>
      </x:c>
      <x:c r="H2" s="102" t="str">
        <x:f>IF(COUNTIF(A7:A206,"&lt;&gt;")=0,"",MINIFS(F7:F206,A7:A206,"&lt;&gt;",F7:F206,"&gt;0"))</x:f>
      </x:c>
      <x:c r="I2" s="102"/>
      <x:c r="J2" s="103" t="str">
        <x:v>Project End</x:v>
      </x:c>
      <x:c r="K2" s="102" t="str">
        <x:f>IF(COUNTIF(A7:A206,"&lt;&gt;")=0,"",MAXIFS(G7:G206,A7:A206,"&lt;&gt;"))</x:f>
      </x:c>
      <x:c r="L2" s="25"/>
      <x:c r="M2" s="101" t="str">
        <x:v>Last Updated</x:v>
      </x:c>
      <x:c r="N2" s="102" t="n">
        <x:f>TODAY()</x:f>
        <x:v>46263</x:v>
      </x:c>
      <x:c r="O2" s="25"/>
      <x:c r="P2" s="25"/>
      <x:c r="Q2" s="25"/>
      <x:c r="R2" s="25"/>
      <x:c r="S2" s="25"/>
    </x:row>
    <x:row r="3">
      <x:c r="A3" s="100" t="str">
        <x:v>Objective</x:v>
      </x:c>
      <x:c r="B3" s="25" t="str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</x:row>
    <x:row r="4">
      <x:c r="A4" s="100" t="str">
        <x:v>Instructions</x:v>
      </x:c>
      <x:c r="B4" s="104" t="str">
        <x:v>Enter task data in the white/input columns. Progress, planned progress, variance, duration, health, and dashboard metrics calculate automatically.</x:v>
      </x:c>
      <x:c r="C4" s="104"/>
      <x:c r="D4" s="104"/>
      <x:c r="E4" s="104"/>
      <x:c r="F4" s="104"/>
      <x:c r="G4" s="104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</x:row>
    <x:row r="6" ht="30" customHeight="1">
      <x:c r="A6" s="61" t="str">
        <x:v>Task ID</x:v>
      </x:c>
      <x:c r="B6" s="61" t="str">
        <x:v>Phase</x:v>
      </x:c>
      <x:c r="C6" s="61" t="str">
        <x:v>Task / Deliverable</x:v>
      </x:c>
      <x:c r="D6" s="61" t="str">
        <x:v>Owner</x:v>
      </x:c>
      <x:c r="E6" s="61" t="str">
        <x:v>Priority</x:v>
      </x:c>
      <x:c r="F6" s="61" t="str">
        <x:v>Start Date</x:v>
      </x:c>
      <x:c r="G6" s="61" t="str">
        <x:v>Due Date</x:v>
      </x:c>
      <x:c r="H6" s="61" t="str">
        <x:v>Duration</x:v>
      </x:c>
      <x:c r="I6" s="61" t="str">
        <x:v>Status</x:v>
      </x:c>
      <x:c r="J6" s="61" t="str">
        <x:v>Completed Units</x:v>
      </x:c>
      <x:c r="K6" s="61" t="str">
        <x:v>Total Units</x:v>
      </x:c>
      <x:c r="L6" s="61" t="str">
        <x:v>Manual Progress %</x:v>
      </x:c>
      <x:c r="M6" s="61" t="str">
        <x:v>Progress %</x:v>
      </x:c>
      <x:c r="N6" s="61" t="str">
        <x:v>Planned %</x:v>
      </x:c>
      <x:c r="O6" s="61" t="str">
        <x:v>Variance %</x:v>
      </x:c>
      <x:c r="P6" s="61" t="str">
        <x:v>Weight</x:v>
      </x:c>
      <x:c r="Q6" s="61" t="str">
        <x:v>Dependency</x:v>
      </x:c>
      <x:c r="R6" s="61" t="str">
        <x:v>Health</x:v>
      </x:c>
      <x:c r="S6" s="61" t="str">
        <x:v>Notes</x:v>
      </x:c>
    </x:row>
    <x:row r="7">
      <x:c r="A7" s="90"/>
      <x:c r="B7" s="90"/>
      <x:c r="C7" s="91"/>
      <x:c r="D7" s="90"/>
      <x:c r="E7" s="90"/>
      <x:c r="F7" s="92"/>
      <x:c r="G7" s="92"/>
      <x:c r="H7" s="84" t="str">
        <x:f>IF(A7="","",IF(OR(F7="",G7=""),"",MAX(0,G7-F7+1)))</x:f>
      </x:c>
      <x:c r="I7" s="90"/>
      <x:c r="J7" s="90"/>
      <x:c r="K7" s="90"/>
      <x:c r="L7" s="96"/>
      <x:c r="M7" s="86" t="str">
        <x:f>IF(A7="","",IF(L7&lt;&gt;"",MAX(0,MIN(1,L7)),IF(AND(K7&lt;&gt;"",K7&gt;0,J7&lt;&gt;""),MAX(0,MIN(1,J7/K7)),IF(I7="",0,SUMIF('Lists &amp; Setup'!$A$4:$A$8,I7,'Lists &amp; Setup'!$B$4:$B$8)))))</x:f>
      </x:c>
      <x:c r="N7" s="86" t="str">
        <x:f>IF(A7="","",IF(OR(F7="",G7=""),0,IF(TODAY()&lt;F7,0,IF(TODAY()&gt;=G7,1,(TODAY()-F7+1)/MAX(1,G7-F7+1)))))</x:f>
      </x:c>
      <x:c r="O7" s="86" t="str">
        <x:f>IF(A7="","",M7-N7)</x:f>
      </x:c>
      <x:c r="P7" s="98"/>
      <x:c r="Q7" s="91"/>
      <x:c r="R7" s="88" t="str">
        <x:f>IF(A7="","",IF(M7&gt;=1,"Complete",IF(I7="Blocked","Blocked",IF(G7="","No Due Date",IF(G7&lt;TODAY(),"Overdue",IF(M7+0.1&lt;N7,"At Risk",IF(G7-TODAY()&lt;=7,"Due Soon","On Track")))))))</x:f>
      </x:c>
      <x:c r="S7" s="91"/>
    </x:row>
    <x:row r="8">
      <x:c r="A8" s="90"/>
      <x:c r="B8" s="90"/>
      <x:c r="C8" s="91"/>
      <x:c r="D8" s="90"/>
      <x:c r="E8" s="90"/>
      <x:c r="F8" s="92"/>
      <x:c r="G8" s="92"/>
      <x:c r="H8" s="84" t="str">
        <x:f>IF(A8="","",IF(OR(F8="",G8=""),"",MAX(0,G8-F8+1)))</x:f>
      </x:c>
      <x:c r="I8" s="90"/>
      <x:c r="J8" s="90"/>
      <x:c r="K8" s="90"/>
      <x:c r="L8" s="96"/>
      <x:c r="M8" s="86" t="str">
        <x:f>IF(A8="","",IF(L8&lt;&gt;"",MAX(0,MIN(1,L8)),IF(AND(K8&lt;&gt;"",K8&gt;0,J8&lt;&gt;""),MAX(0,MIN(1,J8/K8)),IF(I8="",0,SUMIF('Lists &amp; Setup'!$A$4:$A$8,I8,'Lists &amp; Setup'!$B$4:$B$8)))))</x:f>
      </x:c>
      <x:c r="N8" s="86" t="str">
        <x:f>IF(A8="","",IF(OR(F8="",G8=""),0,IF(TODAY()&lt;F8,0,IF(TODAY()&gt;=G8,1,(TODAY()-F8+1)/MAX(1,G8-F8+1)))))</x:f>
      </x:c>
      <x:c r="O8" s="86" t="str">
        <x:f>IF(A8="","",M8-N8)</x:f>
      </x:c>
      <x:c r="P8" s="98"/>
      <x:c r="Q8" s="91"/>
      <x:c r="R8" s="88" t="str">
        <x:f>IF(A8="","",IF(M8&gt;=1,"Complete",IF(I8="Blocked","Blocked",IF(G8="","No Due Date",IF(G8&lt;TODAY(),"Overdue",IF(M8+0.1&lt;N8,"At Risk",IF(G8-TODAY()&lt;=7,"Due Soon","On Track")))))))</x:f>
      </x:c>
      <x:c r="S8" s="91"/>
    </x:row>
    <x:row r="9">
      <x:c r="A9" s="90"/>
      <x:c r="B9" s="90"/>
      <x:c r="C9" s="91"/>
      <x:c r="D9" s="90"/>
      <x:c r="E9" s="90"/>
      <x:c r="F9" s="92"/>
      <x:c r="G9" s="92"/>
      <x:c r="H9" s="84" t="str">
        <x:f>IF(A9="","",IF(OR(F9="",G9=""),"",MAX(0,G9-F9+1)))</x:f>
      </x:c>
      <x:c r="I9" s="90"/>
      <x:c r="J9" s="90"/>
      <x:c r="K9" s="90"/>
      <x:c r="L9" s="96"/>
      <x:c r="M9" s="86" t="str">
        <x:f>IF(A9="","",IF(L9&lt;&gt;"",MAX(0,MIN(1,L9)),IF(AND(K9&lt;&gt;"",K9&gt;0,J9&lt;&gt;""),MAX(0,MIN(1,J9/K9)),IF(I9="",0,SUMIF('Lists &amp; Setup'!$A$4:$A$8,I9,'Lists &amp; Setup'!$B$4:$B$8)))))</x:f>
      </x:c>
      <x:c r="N9" s="86" t="str">
        <x:f>IF(A9="","",IF(OR(F9="",G9=""),0,IF(TODAY()&lt;F9,0,IF(TODAY()&gt;=G9,1,(TODAY()-F9+1)/MAX(1,G9-F9+1)))))</x:f>
      </x:c>
      <x:c r="O9" s="86" t="str">
        <x:f>IF(A9="","",M9-N9)</x:f>
      </x:c>
      <x:c r="P9" s="98"/>
      <x:c r="Q9" s="91"/>
      <x:c r="R9" s="88" t="str">
        <x:f>IF(A9="","",IF(M9&gt;=1,"Complete",IF(I9="Blocked","Blocked",IF(G9="","No Due Date",IF(G9&lt;TODAY(),"Overdue",IF(M9+0.1&lt;N9,"At Risk",IF(G9-TODAY()&lt;=7,"Due Soon","On Track")))))))</x:f>
      </x:c>
      <x:c r="S9" s="91"/>
    </x:row>
    <x:row r="10">
      <x:c r="A10" s="90"/>
      <x:c r="B10" s="90"/>
      <x:c r="C10" s="91"/>
      <x:c r="D10" s="90"/>
      <x:c r="E10" s="90"/>
      <x:c r="F10" s="92"/>
      <x:c r="G10" s="92"/>
      <x:c r="H10" s="84" t="str">
        <x:f>IF(A10="","",IF(OR(F10="",G10=""),"",MAX(0,G10-F10+1)))</x:f>
      </x:c>
      <x:c r="I10" s="90"/>
      <x:c r="J10" s="90"/>
      <x:c r="K10" s="90"/>
      <x:c r="L10" s="96"/>
      <x:c r="M10" s="86" t="str">
        <x:f>IF(A10="","",IF(L10&lt;&gt;"",MAX(0,MIN(1,L10)),IF(AND(K10&lt;&gt;"",K10&gt;0,J10&lt;&gt;""),MAX(0,MIN(1,J10/K10)),IF(I10="",0,SUMIF('Lists &amp; Setup'!$A$4:$A$8,I10,'Lists &amp; Setup'!$B$4:$B$8)))))</x:f>
      </x:c>
      <x:c r="N10" s="86" t="str">
        <x:f>IF(A10="","",IF(OR(F10="",G10=""),0,IF(TODAY()&lt;F10,0,IF(TODAY()&gt;=G10,1,(TODAY()-F10+1)/MAX(1,G10-F10+1)))))</x:f>
      </x:c>
      <x:c r="O10" s="86" t="str">
        <x:f>IF(A10="","",M10-N10)</x:f>
      </x:c>
      <x:c r="P10" s="98"/>
      <x:c r="Q10" s="91"/>
      <x:c r="R10" s="88" t="str">
        <x:f>IF(A10="","",IF(M10&gt;=1,"Complete",IF(I10="Blocked","Blocked",IF(G10="","No Due Date",IF(G10&lt;TODAY(),"Overdue",IF(M10+0.1&lt;N10,"At Risk",IF(G10-TODAY()&lt;=7,"Due Soon","On Track")))))))</x:f>
      </x:c>
      <x:c r="S10" s="91"/>
    </x:row>
    <x:row r="11">
      <x:c r="A11" s="90"/>
      <x:c r="B11" s="90"/>
      <x:c r="C11" s="91"/>
      <x:c r="D11" s="90"/>
      <x:c r="E11" s="90"/>
      <x:c r="F11" s="92"/>
      <x:c r="G11" s="92"/>
      <x:c r="H11" s="84" t="str">
        <x:f>IF(A11="","",IF(OR(F11="",G11=""),"",MAX(0,G11-F11+1)))</x:f>
      </x:c>
      <x:c r="I11" s="90"/>
      <x:c r="J11" s="90"/>
      <x:c r="K11" s="90"/>
      <x:c r="L11" s="96"/>
      <x:c r="M11" s="86" t="str">
        <x:f>IF(A11="","",IF(L11&lt;&gt;"",MAX(0,MIN(1,L11)),IF(AND(K11&lt;&gt;"",K11&gt;0,J11&lt;&gt;""),MAX(0,MIN(1,J11/K11)),IF(I11="",0,SUMIF('Lists &amp; Setup'!$A$4:$A$8,I11,'Lists &amp; Setup'!$B$4:$B$8)))))</x:f>
      </x:c>
      <x:c r="N11" s="86" t="str">
        <x:f>IF(A11="","",IF(OR(F11="",G11=""),0,IF(TODAY()&lt;F11,0,IF(TODAY()&gt;=G11,1,(TODAY()-F11+1)/MAX(1,G11-F11+1)))))</x:f>
      </x:c>
      <x:c r="O11" s="86" t="str">
        <x:f>IF(A11="","",M11-N11)</x:f>
      </x:c>
      <x:c r="P11" s="98"/>
      <x:c r="Q11" s="91"/>
      <x:c r="R11" s="88" t="str">
        <x:f>IF(A11="","",IF(M11&gt;=1,"Complete",IF(I11="Blocked","Blocked",IF(G11="","No Due Date",IF(G11&lt;TODAY(),"Overdue",IF(M11+0.1&lt;N11,"At Risk",IF(G11-TODAY()&lt;=7,"Due Soon","On Track")))))))</x:f>
      </x:c>
      <x:c r="S11" s="91"/>
    </x:row>
    <x:row r="12">
      <x:c r="A12" s="90"/>
      <x:c r="B12" s="90"/>
      <x:c r="C12" s="91"/>
      <x:c r="D12" s="90"/>
      <x:c r="E12" s="90"/>
      <x:c r="F12" s="92"/>
      <x:c r="G12" s="92"/>
      <x:c r="H12" s="84" t="str">
        <x:f>IF(A12="","",IF(OR(F12="",G12=""),"",MAX(0,G12-F12+1)))</x:f>
      </x:c>
      <x:c r="I12" s="90"/>
      <x:c r="J12" s="90"/>
      <x:c r="K12" s="90"/>
      <x:c r="L12" s="96"/>
      <x:c r="M12" s="86" t="str">
        <x:f>IF(A12="","",IF(L12&lt;&gt;"",MAX(0,MIN(1,L12)),IF(AND(K12&lt;&gt;"",K12&gt;0,J12&lt;&gt;""),MAX(0,MIN(1,J12/K12)),IF(I12="",0,SUMIF('Lists &amp; Setup'!$A$4:$A$8,I12,'Lists &amp; Setup'!$B$4:$B$8)))))</x:f>
      </x:c>
      <x:c r="N12" s="86" t="str">
        <x:f>IF(A12="","",IF(OR(F12="",G12=""),0,IF(TODAY()&lt;F12,0,IF(TODAY()&gt;=G12,1,(TODAY()-F12+1)/MAX(1,G12-F12+1)))))</x:f>
      </x:c>
      <x:c r="O12" s="86" t="str">
        <x:f>IF(A12="","",M12-N12)</x:f>
      </x:c>
      <x:c r="P12" s="98"/>
      <x:c r="Q12" s="91"/>
      <x:c r="R12" s="88" t="str">
        <x:f>IF(A12="","",IF(M12&gt;=1,"Complete",IF(I12="Blocked","Blocked",IF(G12="","No Due Date",IF(G12&lt;TODAY(),"Overdue",IF(M12+0.1&lt;N12,"At Risk",IF(G12-TODAY()&lt;=7,"Due Soon","On Track")))))))</x:f>
      </x:c>
      <x:c r="S12" s="91"/>
    </x:row>
    <x:row r="13">
      <x:c r="A13" s="90"/>
      <x:c r="B13" s="90"/>
      <x:c r="C13" s="91"/>
      <x:c r="D13" s="90"/>
      <x:c r="E13" s="90"/>
      <x:c r="F13" s="92"/>
      <x:c r="G13" s="92"/>
      <x:c r="H13" s="84" t="str">
        <x:f>IF(A13="","",IF(OR(F13="",G13=""),"",MAX(0,G13-F13+1)))</x:f>
      </x:c>
      <x:c r="I13" s="90"/>
      <x:c r="J13" s="90"/>
      <x:c r="K13" s="90"/>
      <x:c r="L13" s="96"/>
      <x:c r="M13" s="86" t="str">
        <x:f>IF(A13="","",IF(L13&lt;&gt;"",MAX(0,MIN(1,L13)),IF(AND(K13&lt;&gt;"",K13&gt;0,J13&lt;&gt;""),MAX(0,MIN(1,J13/K13)),IF(I13="",0,SUMIF('Lists &amp; Setup'!$A$4:$A$8,I13,'Lists &amp; Setup'!$B$4:$B$8)))))</x:f>
      </x:c>
      <x:c r="N13" s="86" t="str">
        <x:f>IF(A13="","",IF(OR(F13="",G13=""),0,IF(TODAY()&lt;F13,0,IF(TODAY()&gt;=G13,1,(TODAY()-F13+1)/MAX(1,G13-F13+1)))))</x:f>
      </x:c>
      <x:c r="O13" s="86" t="str">
        <x:f>IF(A13="","",M13-N13)</x:f>
      </x:c>
      <x:c r="P13" s="98"/>
      <x:c r="Q13" s="91"/>
      <x:c r="R13" s="88" t="str">
        <x:f>IF(A13="","",IF(M13&gt;=1,"Complete",IF(I13="Blocked","Blocked",IF(G13="","No Due Date",IF(G13&lt;TODAY(),"Overdue",IF(M13+0.1&lt;N13,"At Risk",IF(G13-TODAY()&lt;=7,"Due Soon","On Track")))))))</x:f>
      </x:c>
      <x:c r="S13" s="91"/>
    </x:row>
    <x:row r="14">
      <x:c r="A14" s="90"/>
      <x:c r="B14" s="90"/>
      <x:c r="C14" s="91"/>
      <x:c r="D14" s="90"/>
      <x:c r="E14" s="90"/>
      <x:c r="F14" s="92"/>
      <x:c r="G14" s="92"/>
      <x:c r="H14" s="84" t="str">
        <x:f>IF(A14="","",IF(OR(F14="",G14=""),"",MAX(0,G14-F14+1)))</x:f>
      </x:c>
      <x:c r="I14" s="90"/>
      <x:c r="J14" s="90"/>
      <x:c r="K14" s="90"/>
      <x:c r="L14" s="96"/>
      <x:c r="M14" s="86" t="str">
        <x:f>IF(A14="","",IF(L14&lt;&gt;"",MAX(0,MIN(1,L14)),IF(AND(K14&lt;&gt;"",K14&gt;0,J14&lt;&gt;""),MAX(0,MIN(1,J14/K14)),IF(I14="",0,SUMIF('Lists &amp; Setup'!$A$4:$A$8,I14,'Lists &amp; Setup'!$B$4:$B$8)))))</x:f>
      </x:c>
      <x:c r="N14" s="86" t="str">
        <x:f>IF(A14="","",IF(OR(F14="",G14=""),0,IF(TODAY()&lt;F14,0,IF(TODAY()&gt;=G14,1,(TODAY()-F14+1)/MAX(1,G14-F14+1)))))</x:f>
      </x:c>
      <x:c r="O14" s="86" t="str">
        <x:f>IF(A14="","",M14-N14)</x:f>
      </x:c>
      <x:c r="P14" s="98"/>
      <x:c r="Q14" s="91"/>
      <x:c r="R14" s="88" t="str">
        <x:f>IF(A14="","",IF(M14&gt;=1,"Complete",IF(I14="Blocked","Blocked",IF(G14="","No Due Date",IF(G14&lt;TODAY(),"Overdue",IF(M14+0.1&lt;N14,"At Risk",IF(G14-TODAY()&lt;=7,"Due Soon","On Track")))))))</x:f>
      </x:c>
      <x:c r="S14" s="91"/>
    </x:row>
    <x:row r="15">
      <x:c r="A15" s="90"/>
      <x:c r="B15" s="90"/>
      <x:c r="C15" s="91"/>
      <x:c r="D15" s="90"/>
      <x:c r="E15" s="90"/>
      <x:c r="F15" s="92"/>
      <x:c r="G15" s="92"/>
      <x:c r="H15" s="84" t="str">
        <x:f>IF(A15="","",IF(OR(F15="",G15=""),"",MAX(0,G15-F15+1)))</x:f>
      </x:c>
      <x:c r="I15" s="90"/>
      <x:c r="J15" s="90"/>
      <x:c r="K15" s="90"/>
      <x:c r="L15" s="96"/>
      <x:c r="M15" s="86" t="str">
        <x:f>IF(A15="","",IF(L15&lt;&gt;"",MAX(0,MIN(1,L15)),IF(AND(K15&lt;&gt;"",K15&gt;0,J15&lt;&gt;""),MAX(0,MIN(1,J15/K15)),IF(I15="",0,SUMIF('Lists &amp; Setup'!$A$4:$A$8,I15,'Lists &amp; Setup'!$B$4:$B$8)))))</x:f>
      </x:c>
      <x:c r="N15" s="86" t="str">
        <x:f>IF(A15="","",IF(OR(F15="",G15=""),0,IF(TODAY()&lt;F15,0,IF(TODAY()&gt;=G15,1,(TODAY()-F15+1)/MAX(1,G15-F15+1)))))</x:f>
      </x:c>
      <x:c r="O15" s="86" t="str">
        <x:f>IF(A15="","",M15-N15)</x:f>
      </x:c>
      <x:c r="P15" s="98"/>
      <x:c r="Q15" s="91"/>
      <x:c r="R15" s="88" t="str">
        <x:f>IF(A15="","",IF(M15&gt;=1,"Complete",IF(I15="Blocked","Blocked",IF(G15="","No Due Date",IF(G15&lt;TODAY(),"Overdue",IF(M15+0.1&lt;N15,"At Risk",IF(G15-TODAY()&lt;=7,"Due Soon","On Track")))))))</x:f>
      </x:c>
      <x:c r="S15" s="91"/>
    </x:row>
    <x:row r="16">
      <x:c r="A16" s="90"/>
      <x:c r="B16" s="90"/>
      <x:c r="C16" s="91"/>
      <x:c r="D16" s="90"/>
      <x:c r="E16" s="90"/>
      <x:c r="F16" s="92"/>
      <x:c r="G16" s="92"/>
      <x:c r="H16" s="84" t="str">
        <x:f>IF(A16="","",IF(OR(F16="",G16=""),"",MAX(0,G16-F16+1)))</x:f>
      </x:c>
      <x:c r="I16" s="90"/>
      <x:c r="J16" s="90"/>
      <x:c r="K16" s="90"/>
      <x:c r="L16" s="96"/>
      <x:c r="M16" s="86" t="str">
        <x:f>IF(A16="","",IF(L16&lt;&gt;"",MAX(0,MIN(1,L16)),IF(AND(K16&lt;&gt;"",K16&gt;0,J16&lt;&gt;""),MAX(0,MIN(1,J16/K16)),IF(I16="",0,SUMIF('Lists &amp; Setup'!$A$4:$A$8,I16,'Lists &amp; Setup'!$B$4:$B$8)))))</x:f>
      </x:c>
      <x:c r="N16" s="86" t="str">
        <x:f>IF(A16="","",IF(OR(F16="",G16=""),0,IF(TODAY()&lt;F16,0,IF(TODAY()&gt;=G16,1,(TODAY()-F16+1)/MAX(1,G16-F16+1)))))</x:f>
      </x:c>
      <x:c r="O16" s="86" t="str">
        <x:f>IF(A16="","",M16-N16)</x:f>
      </x:c>
      <x:c r="P16" s="98"/>
      <x:c r="Q16" s="91"/>
      <x:c r="R16" s="88" t="str">
        <x:f>IF(A16="","",IF(M16&gt;=1,"Complete",IF(I16="Blocked","Blocked",IF(G16="","No Due Date",IF(G16&lt;TODAY(),"Overdue",IF(M16+0.1&lt;N16,"At Risk",IF(G16-TODAY()&lt;=7,"Due Soon","On Track")))))))</x:f>
      </x:c>
      <x:c r="S16" s="91"/>
    </x:row>
    <x:row r="17">
      <x:c r="A17" s="90"/>
      <x:c r="B17" s="90"/>
      <x:c r="C17" s="91"/>
      <x:c r="D17" s="90"/>
      <x:c r="E17" s="90"/>
      <x:c r="F17" s="92"/>
      <x:c r="G17" s="92"/>
      <x:c r="H17" s="84" t="str">
        <x:f>IF(A17="","",IF(OR(F17="",G17=""),"",MAX(0,G17-F17+1)))</x:f>
      </x:c>
      <x:c r="I17" s="90"/>
      <x:c r="J17" s="90"/>
      <x:c r="K17" s="90"/>
      <x:c r="L17" s="96"/>
      <x:c r="M17" s="86" t="str">
        <x:f>IF(A17="","",IF(L17&lt;&gt;"",MAX(0,MIN(1,L17)),IF(AND(K17&lt;&gt;"",K17&gt;0,J17&lt;&gt;""),MAX(0,MIN(1,J17/K17)),IF(I17="",0,SUMIF('Lists &amp; Setup'!$A$4:$A$8,I17,'Lists &amp; Setup'!$B$4:$B$8)))))</x:f>
      </x:c>
      <x:c r="N17" s="86" t="str">
        <x:f>IF(A17="","",IF(OR(F17="",G17=""),0,IF(TODAY()&lt;F17,0,IF(TODAY()&gt;=G17,1,(TODAY()-F17+1)/MAX(1,G17-F17+1)))))</x:f>
      </x:c>
      <x:c r="O17" s="86" t="str">
        <x:f>IF(A17="","",M17-N17)</x:f>
      </x:c>
      <x:c r="P17" s="98"/>
      <x:c r="Q17" s="91"/>
      <x:c r="R17" s="88" t="str">
        <x:f>IF(A17="","",IF(M17&gt;=1,"Complete",IF(I17="Blocked","Blocked",IF(G17="","No Due Date",IF(G17&lt;TODAY(),"Overdue",IF(M17+0.1&lt;N17,"At Risk",IF(G17-TODAY()&lt;=7,"Due Soon","On Track")))))))</x:f>
      </x:c>
      <x:c r="S17" s="91"/>
    </x:row>
    <x:row r="18">
      <x:c r="A18" s="90"/>
      <x:c r="B18" s="90"/>
      <x:c r="C18" s="91"/>
      <x:c r="D18" s="90"/>
      <x:c r="E18" s="90"/>
      <x:c r="F18" s="92"/>
      <x:c r="G18" s="92"/>
      <x:c r="H18" s="84" t="str">
        <x:f>IF(A18="","",IF(OR(F18="",G18=""),"",MAX(0,G18-F18+1)))</x:f>
      </x:c>
      <x:c r="I18" s="90"/>
      <x:c r="J18" s="90"/>
      <x:c r="K18" s="90"/>
      <x:c r="L18" s="96"/>
      <x:c r="M18" s="86" t="str">
        <x:f>IF(A18="","",IF(L18&lt;&gt;"",MAX(0,MIN(1,L18)),IF(AND(K18&lt;&gt;"",K18&gt;0,J18&lt;&gt;""),MAX(0,MIN(1,J18/K18)),IF(I18="",0,SUMIF('Lists &amp; Setup'!$A$4:$A$8,I18,'Lists &amp; Setup'!$B$4:$B$8)))))</x:f>
      </x:c>
      <x:c r="N18" s="86" t="str">
        <x:f>IF(A18="","",IF(OR(F18="",G18=""),0,IF(TODAY()&lt;F18,0,IF(TODAY()&gt;=G18,1,(TODAY()-F18+1)/MAX(1,G18-F18+1)))))</x:f>
      </x:c>
      <x:c r="O18" s="86" t="str">
        <x:f>IF(A18="","",M18-N18)</x:f>
      </x:c>
      <x:c r="P18" s="98"/>
      <x:c r="Q18" s="91"/>
      <x:c r="R18" s="88" t="str">
        <x:f>IF(A18="","",IF(M18&gt;=1,"Complete",IF(I18="Blocked","Blocked",IF(G18="","No Due Date",IF(G18&lt;TODAY(),"Overdue",IF(M18+0.1&lt;N18,"At Risk",IF(G18-TODAY()&lt;=7,"Due Soon","On Track")))))))</x:f>
      </x:c>
      <x:c r="S18" s="91"/>
    </x:row>
    <x:row r="19">
      <x:c r="A19" s="90"/>
      <x:c r="B19" s="90"/>
      <x:c r="C19" s="91"/>
      <x:c r="D19" s="90"/>
      <x:c r="E19" s="90"/>
      <x:c r="F19" s="92"/>
      <x:c r="G19" s="92"/>
      <x:c r="H19" s="84" t="str">
        <x:f>IF(A19="","",IF(OR(F19="",G19=""),"",MAX(0,G19-F19+1)))</x:f>
      </x:c>
      <x:c r="I19" s="90"/>
      <x:c r="J19" s="90"/>
      <x:c r="K19" s="90"/>
      <x:c r="L19" s="96"/>
      <x:c r="M19" s="86" t="str">
        <x:f>IF(A19="","",IF(L19&lt;&gt;"",MAX(0,MIN(1,L19)),IF(AND(K19&lt;&gt;"",K19&gt;0,J19&lt;&gt;""),MAX(0,MIN(1,J19/K19)),IF(I19="",0,SUMIF('Lists &amp; Setup'!$A$4:$A$8,I19,'Lists &amp; Setup'!$B$4:$B$8)))))</x:f>
      </x:c>
      <x:c r="N19" s="86" t="str">
        <x:f>IF(A19="","",IF(OR(F19="",G19=""),0,IF(TODAY()&lt;F19,0,IF(TODAY()&gt;=G19,1,(TODAY()-F19+1)/MAX(1,G19-F19+1)))))</x:f>
      </x:c>
      <x:c r="O19" s="86" t="str">
        <x:f>IF(A19="","",M19-N19)</x:f>
      </x:c>
      <x:c r="P19" s="98"/>
      <x:c r="Q19" s="91"/>
      <x:c r="R19" s="88" t="str">
        <x:f>IF(A19="","",IF(M19&gt;=1,"Complete",IF(I19="Blocked","Blocked",IF(G19="","No Due Date",IF(G19&lt;TODAY(),"Overdue",IF(M19+0.1&lt;N19,"At Risk",IF(G19-TODAY()&lt;=7,"Due Soon","On Track")))))))</x:f>
      </x:c>
      <x:c r="S19" s="91"/>
    </x:row>
    <x:row r="20">
      <x:c r="A20" s="90"/>
      <x:c r="B20" s="90"/>
      <x:c r="C20" s="91"/>
      <x:c r="D20" s="90"/>
      <x:c r="E20" s="90"/>
      <x:c r="F20" s="92"/>
      <x:c r="G20" s="92"/>
      <x:c r="H20" s="84" t="str">
        <x:f>IF(A20="","",IF(OR(F20="",G20=""),"",MAX(0,G20-F20+1)))</x:f>
      </x:c>
      <x:c r="I20" s="90"/>
      <x:c r="J20" s="90"/>
      <x:c r="K20" s="90"/>
      <x:c r="L20" s="96"/>
      <x:c r="M20" s="86" t="str">
        <x:f>IF(A20="","",IF(L20&lt;&gt;"",MAX(0,MIN(1,L20)),IF(AND(K20&lt;&gt;"",K20&gt;0,J20&lt;&gt;""),MAX(0,MIN(1,J20/K20)),IF(I20="",0,SUMIF('Lists &amp; Setup'!$A$4:$A$8,I20,'Lists &amp; Setup'!$B$4:$B$8)))))</x:f>
      </x:c>
      <x:c r="N20" s="86" t="str">
        <x:f>IF(A20="","",IF(OR(F20="",G20=""),0,IF(TODAY()&lt;F20,0,IF(TODAY()&gt;=G20,1,(TODAY()-F20+1)/MAX(1,G20-F20+1)))))</x:f>
      </x:c>
      <x:c r="O20" s="86" t="str">
        <x:f>IF(A20="","",M20-N20)</x:f>
      </x:c>
      <x:c r="P20" s="98"/>
      <x:c r="Q20" s="91"/>
      <x:c r="R20" s="88" t="str">
        <x:f>IF(A20="","",IF(M20&gt;=1,"Complete",IF(I20="Blocked","Blocked",IF(G20="","No Due Date",IF(G20&lt;TODAY(),"Overdue",IF(M20+0.1&lt;N20,"At Risk",IF(G20-TODAY()&lt;=7,"Due Soon","On Track")))))))</x:f>
      </x:c>
      <x:c r="S20" s="91"/>
    </x:row>
    <x:row r="21">
      <x:c r="A21" s="90"/>
      <x:c r="B21" s="90"/>
      <x:c r="C21" s="91"/>
      <x:c r="D21" s="90"/>
      <x:c r="E21" s="90"/>
      <x:c r="F21" s="92"/>
      <x:c r="G21" s="92"/>
      <x:c r="H21" s="84" t="str">
        <x:f>IF(A21="","",IF(OR(F21="",G21=""),"",MAX(0,G21-F21+1)))</x:f>
      </x:c>
      <x:c r="I21" s="90"/>
      <x:c r="J21" s="90"/>
      <x:c r="K21" s="90"/>
      <x:c r="L21" s="96"/>
      <x:c r="M21" s="86" t="str">
        <x:f>IF(A21="","",IF(L21&lt;&gt;"",MAX(0,MIN(1,L21)),IF(AND(K21&lt;&gt;"",K21&gt;0,J21&lt;&gt;""),MAX(0,MIN(1,J21/K21)),IF(I21="",0,SUMIF('Lists &amp; Setup'!$A$4:$A$8,I21,'Lists &amp; Setup'!$B$4:$B$8)))))</x:f>
      </x:c>
      <x:c r="N21" s="86" t="str">
        <x:f>IF(A21="","",IF(OR(F21="",G21=""),0,IF(TODAY()&lt;F21,0,IF(TODAY()&gt;=G21,1,(TODAY()-F21+1)/MAX(1,G21-F21+1)))))</x:f>
      </x:c>
      <x:c r="O21" s="86" t="str">
        <x:f>IF(A21="","",M21-N21)</x:f>
      </x:c>
      <x:c r="P21" s="98"/>
      <x:c r="Q21" s="91"/>
      <x:c r="R21" s="88" t="str">
        <x:f>IF(A21="","",IF(M21&gt;=1,"Complete",IF(I21="Blocked","Blocked",IF(G21="","No Due Date",IF(G21&lt;TODAY(),"Overdue",IF(M21+0.1&lt;N21,"At Risk",IF(G21-TODAY()&lt;=7,"Due Soon","On Track")))))))</x:f>
      </x:c>
      <x:c r="S21" s="91"/>
    </x:row>
    <x:row r="22">
      <x:c r="A22" s="90"/>
      <x:c r="B22" s="90"/>
      <x:c r="C22" s="91"/>
      <x:c r="D22" s="90"/>
      <x:c r="E22" s="90"/>
      <x:c r="F22" s="92"/>
      <x:c r="G22" s="92"/>
      <x:c r="H22" s="84" t="str">
        <x:f>IF(A22="","",IF(OR(F22="",G22=""),"",MAX(0,G22-F22+1)))</x:f>
      </x:c>
      <x:c r="I22" s="90"/>
      <x:c r="J22" s="90"/>
      <x:c r="K22" s="90"/>
      <x:c r="L22" s="96"/>
      <x:c r="M22" s="86" t="str">
        <x:f>IF(A22="","",IF(L22&lt;&gt;"",MAX(0,MIN(1,L22)),IF(AND(K22&lt;&gt;"",K22&gt;0,J22&lt;&gt;""),MAX(0,MIN(1,J22/K22)),IF(I22="",0,SUMIF('Lists &amp; Setup'!$A$4:$A$8,I22,'Lists &amp; Setup'!$B$4:$B$8)))))</x:f>
      </x:c>
      <x:c r="N22" s="86" t="str">
        <x:f>IF(A22="","",IF(OR(F22="",G22=""),0,IF(TODAY()&lt;F22,0,IF(TODAY()&gt;=G22,1,(TODAY()-F22+1)/MAX(1,G22-F22+1)))))</x:f>
      </x:c>
      <x:c r="O22" s="86" t="str">
        <x:f>IF(A22="","",M22-N22)</x:f>
      </x:c>
      <x:c r="P22" s="98"/>
      <x:c r="Q22" s="91"/>
      <x:c r="R22" s="88" t="str">
        <x:f>IF(A22="","",IF(M22&gt;=1,"Complete",IF(I22="Blocked","Blocked",IF(G22="","No Due Date",IF(G22&lt;TODAY(),"Overdue",IF(M22+0.1&lt;N22,"At Risk",IF(G22-TODAY()&lt;=7,"Due Soon","On Track")))))))</x:f>
      </x:c>
      <x:c r="S22" s="91"/>
    </x:row>
    <x:row r="23">
      <x:c r="A23" s="90"/>
      <x:c r="B23" s="90"/>
      <x:c r="C23" s="91"/>
      <x:c r="D23" s="90"/>
      <x:c r="E23" s="90"/>
      <x:c r="F23" s="92"/>
      <x:c r="G23" s="92"/>
      <x:c r="H23" s="84" t="str">
        <x:f>IF(A23="","",IF(OR(F23="",G23=""),"",MAX(0,G23-F23+1)))</x:f>
      </x:c>
      <x:c r="I23" s="90"/>
      <x:c r="J23" s="90"/>
      <x:c r="K23" s="90"/>
      <x:c r="L23" s="96"/>
      <x:c r="M23" s="86" t="str">
        <x:f>IF(A23="","",IF(L23&lt;&gt;"",MAX(0,MIN(1,L23)),IF(AND(K23&lt;&gt;"",K23&gt;0,J23&lt;&gt;""),MAX(0,MIN(1,J23/K23)),IF(I23="",0,SUMIF('Lists &amp; Setup'!$A$4:$A$8,I23,'Lists &amp; Setup'!$B$4:$B$8)))))</x:f>
      </x:c>
      <x:c r="N23" s="86" t="str">
        <x:f>IF(A23="","",IF(OR(F23="",G23=""),0,IF(TODAY()&lt;F23,0,IF(TODAY()&gt;=G23,1,(TODAY()-F23+1)/MAX(1,G23-F23+1)))))</x:f>
      </x:c>
      <x:c r="O23" s="86" t="str">
        <x:f>IF(A23="","",M23-N23)</x:f>
      </x:c>
      <x:c r="P23" s="98"/>
      <x:c r="Q23" s="91"/>
      <x:c r="R23" s="88" t="str">
        <x:f>IF(A23="","",IF(M23&gt;=1,"Complete",IF(I23="Blocked","Blocked",IF(G23="","No Due Date",IF(G23&lt;TODAY(),"Overdue",IF(M23+0.1&lt;N23,"At Risk",IF(G23-TODAY()&lt;=7,"Due Soon","On Track")))))))</x:f>
      </x:c>
      <x:c r="S23" s="91"/>
    </x:row>
    <x:row r="24">
      <x:c r="A24" s="90"/>
      <x:c r="B24" s="90"/>
      <x:c r="C24" s="91"/>
      <x:c r="D24" s="90"/>
      <x:c r="E24" s="90"/>
      <x:c r="F24" s="92"/>
      <x:c r="G24" s="92"/>
      <x:c r="H24" s="84" t="str">
        <x:f>IF(A24="","",IF(OR(F24="",G24=""),"",MAX(0,G24-F24+1)))</x:f>
      </x:c>
      <x:c r="I24" s="90"/>
      <x:c r="J24" s="90"/>
      <x:c r="K24" s="90"/>
      <x:c r="L24" s="96"/>
      <x:c r="M24" s="86" t="str">
        <x:f>IF(A24="","",IF(L24&lt;&gt;"",MAX(0,MIN(1,L24)),IF(AND(K24&lt;&gt;"",K24&gt;0,J24&lt;&gt;""),MAX(0,MIN(1,J24/K24)),IF(I24="",0,SUMIF('Lists &amp; Setup'!$A$4:$A$8,I24,'Lists &amp; Setup'!$B$4:$B$8)))))</x:f>
      </x:c>
      <x:c r="N24" s="86" t="str">
        <x:f>IF(A24="","",IF(OR(F24="",G24=""),0,IF(TODAY()&lt;F24,0,IF(TODAY()&gt;=G24,1,(TODAY()-F24+1)/MAX(1,G24-F24+1)))))</x:f>
      </x:c>
      <x:c r="O24" s="86" t="str">
        <x:f>IF(A24="","",M24-N24)</x:f>
      </x:c>
      <x:c r="P24" s="98"/>
      <x:c r="Q24" s="91"/>
      <x:c r="R24" s="88" t="str">
        <x:f>IF(A24="","",IF(M24&gt;=1,"Complete",IF(I24="Blocked","Blocked",IF(G24="","No Due Date",IF(G24&lt;TODAY(),"Overdue",IF(M24+0.1&lt;N24,"At Risk",IF(G24-TODAY()&lt;=7,"Due Soon","On Track")))))))</x:f>
      </x:c>
      <x:c r="S24" s="91"/>
    </x:row>
    <x:row r="25">
      <x:c r="A25" s="90"/>
      <x:c r="B25" s="90"/>
      <x:c r="C25" s="91"/>
      <x:c r="D25" s="90"/>
      <x:c r="E25" s="90"/>
      <x:c r="F25" s="92"/>
      <x:c r="G25" s="92"/>
      <x:c r="H25" s="84" t="str">
        <x:f>IF(A25="","",IF(OR(F25="",G25=""),"",MAX(0,G25-F25+1)))</x:f>
      </x:c>
      <x:c r="I25" s="90"/>
      <x:c r="J25" s="90"/>
      <x:c r="K25" s="90"/>
      <x:c r="L25" s="96"/>
      <x:c r="M25" s="86" t="str">
        <x:f>IF(A25="","",IF(L25&lt;&gt;"",MAX(0,MIN(1,L25)),IF(AND(K25&lt;&gt;"",K25&gt;0,J25&lt;&gt;""),MAX(0,MIN(1,J25/K25)),IF(I25="",0,SUMIF('Lists &amp; Setup'!$A$4:$A$8,I25,'Lists &amp; Setup'!$B$4:$B$8)))))</x:f>
      </x:c>
      <x:c r="N25" s="86" t="str">
        <x:f>IF(A25="","",IF(OR(F25="",G25=""),0,IF(TODAY()&lt;F25,0,IF(TODAY()&gt;=G25,1,(TODAY()-F25+1)/MAX(1,G25-F25+1)))))</x:f>
      </x:c>
      <x:c r="O25" s="86" t="str">
        <x:f>IF(A25="","",M25-N25)</x:f>
      </x:c>
      <x:c r="P25" s="98"/>
      <x:c r="Q25" s="91"/>
      <x:c r="R25" s="88" t="str">
        <x:f>IF(A25="","",IF(M25&gt;=1,"Complete",IF(I25="Blocked","Blocked",IF(G25="","No Due Date",IF(G25&lt;TODAY(),"Overdue",IF(M25+0.1&lt;N25,"At Risk",IF(G25-TODAY()&lt;=7,"Due Soon","On Track")))))))</x:f>
      </x:c>
      <x:c r="S25" s="91"/>
    </x:row>
    <x:row r="26">
      <x:c r="A26" s="90"/>
      <x:c r="B26" s="90"/>
      <x:c r="C26" s="91"/>
      <x:c r="D26" s="90"/>
      <x:c r="E26" s="90"/>
      <x:c r="F26" s="92"/>
      <x:c r="G26" s="92"/>
      <x:c r="H26" s="84" t="str">
        <x:f>IF(A26="","",IF(OR(F26="",G26=""),"",MAX(0,G26-F26+1)))</x:f>
      </x:c>
      <x:c r="I26" s="90"/>
      <x:c r="J26" s="90"/>
      <x:c r="K26" s="90"/>
      <x:c r="L26" s="96"/>
      <x:c r="M26" s="86" t="str">
        <x:f>IF(A26="","",IF(L26&lt;&gt;"",MAX(0,MIN(1,L26)),IF(AND(K26&lt;&gt;"",K26&gt;0,J26&lt;&gt;""),MAX(0,MIN(1,J26/K26)),IF(I26="",0,SUMIF('Lists &amp; Setup'!$A$4:$A$8,I26,'Lists &amp; Setup'!$B$4:$B$8)))))</x:f>
      </x:c>
      <x:c r="N26" s="86" t="str">
        <x:f>IF(A26="","",IF(OR(F26="",G26=""),0,IF(TODAY()&lt;F26,0,IF(TODAY()&gt;=G26,1,(TODAY()-F26+1)/MAX(1,G26-F26+1)))))</x:f>
      </x:c>
      <x:c r="O26" s="86" t="str">
        <x:f>IF(A26="","",M26-N26)</x:f>
      </x:c>
      <x:c r="P26" s="98"/>
      <x:c r="Q26" s="91"/>
      <x:c r="R26" s="88" t="str">
        <x:f>IF(A26="","",IF(M26&gt;=1,"Complete",IF(I26="Blocked","Blocked",IF(G26="","No Due Date",IF(G26&lt;TODAY(),"Overdue",IF(M26+0.1&lt;N26,"At Risk",IF(G26-TODAY()&lt;=7,"Due Soon","On Track")))))))</x:f>
      </x:c>
      <x:c r="S26" s="91"/>
    </x:row>
    <x:row r="27">
      <x:c r="A27" s="90"/>
      <x:c r="B27" s="90"/>
      <x:c r="C27" s="91"/>
      <x:c r="D27" s="90"/>
      <x:c r="E27" s="90"/>
      <x:c r="F27" s="92"/>
      <x:c r="G27" s="92"/>
      <x:c r="H27" s="84" t="str">
        <x:f>IF(A27="","",IF(OR(F27="",G27=""),"",MAX(0,G27-F27+1)))</x:f>
      </x:c>
      <x:c r="I27" s="90"/>
      <x:c r="J27" s="90"/>
      <x:c r="K27" s="90"/>
      <x:c r="L27" s="96"/>
      <x:c r="M27" s="86" t="str">
        <x:f>IF(A27="","",IF(L27&lt;&gt;"",MAX(0,MIN(1,L27)),IF(AND(K27&lt;&gt;"",K27&gt;0,J27&lt;&gt;""),MAX(0,MIN(1,J27/K27)),IF(I27="",0,SUMIF('Lists &amp; Setup'!$A$4:$A$8,I27,'Lists &amp; Setup'!$B$4:$B$8)))))</x:f>
      </x:c>
      <x:c r="N27" s="86" t="str">
        <x:f>IF(A27="","",IF(OR(F27="",G27=""),0,IF(TODAY()&lt;F27,0,IF(TODAY()&gt;=G27,1,(TODAY()-F27+1)/MAX(1,G27-F27+1)))))</x:f>
      </x:c>
      <x:c r="O27" s="86" t="str">
        <x:f>IF(A27="","",M27-N27)</x:f>
      </x:c>
      <x:c r="P27" s="98"/>
      <x:c r="Q27" s="91"/>
      <x:c r="R27" s="88" t="str">
        <x:f>IF(A27="","",IF(M27&gt;=1,"Complete",IF(I27="Blocked","Blocked",IF(G27="","No Due Date",IF(G27&lt;TODAY(),"Overdue",IF(M27+0.1&lt;N27,"At Risk",IF(G27-TODAY()&lt;=7,"Due Soon","On Track")))))))</x:f>
      </x:c>
      <x:c r="S27" s="91"/>
    </x:row>
    <x:row r="28">
      <x:c r="A28" s="90"/>
      <x:c r="B28" s="90"/>
      <x:c r="C28" s="91"/>
      <x:c r="D28" s="90"/>
      <x:c r="E28" s="90"/>
      <x:c r="F28" s="92"/>
      <x:c r="G28" s="92"/>
      <x:c r="H28" s="84" t="str">
        <x:f>IF(A28="","",IF(OR(F28="",G28=""),"",MAX(0,G28-F28+1)))</x:f>
      </x:c>
      <x:c r="I28" s="90"/>
      <x:c r="J28" s="90"/>
      <x:c r="K28" s="90"/>
      <x:c r="L28" s="96"/>
      <x:c r="M28" s="86" t="str">
        <x:f>IF(A28="","",IF(L28&lt;&gt;"",MAX(0,MIN(1,L28)),IF(AND(K28&lt;&gt;"",K28&gt;0,J28&lt;&gt;""),MAX(0,MIN(1,J28/K28)),IF(I28="",0,SUMIF('Lists &amp; Setup'!$A$4:$A$8,I28,'Lists &amp; Setup'!$B$4:$B$8)))))</x:f>
      </x:c>
      <x:c r="N28" s="86" t="str">
        <x:f>IF(A28="","",IF(OR(F28="",G28=""),0,IF(TODAY()&lt;F28,0,IF(TODAY()&gt;=G28,1,(TODAY()-F28+1)/MAX(1,G28-F28+1)))))</x:f>
      </x:c>
      <x:c r="O28" s="86" t="str">
        <x:f>IF(A28="","",M28-N28)</x:f>
      </x:c>
      <x:c r="P28" s="98"/>
      <x:c r="Q28" s="91"/>
      <x:c r="R28" s="88" t="str">
        <x:f>IF(A28="","",IF(M28&gt;=1,"Complete",IF(I28="Blocked","Blocked",IF(G28="","No Due Date",IF(G28&lt;TODAY(),"Overdue",IF(M28+0.1&lt;N28,"At Risk",IF(G28-TODAY()&lt;=7,"Due Soon","On Track")))))))</x:f>
      </x:c>
      <x:c r="S28" s="91"/>
    </x:row>
    <x:row r="29">
      <x:c r="A29" s="90"/>
      <x:c r="B29" s="90"/>
      <x:c r="C29" s="91"/>
      <x:c r="D29" s="90"/>
      <x:c r="E29" s="90"/>
      <x:c r="F29" s="92"/>
      <x:c r="G29" s="92"/>
      <x:c r="H29" s="84" t="str">
        <x:f>IF(A29="","",IF(OR(F29="",G29=""),"",MAX(0,G29-F29+1)))</x:f>
      </x:c>
      <x:c r="I29" s="90"/>
      <x:c r="J29" s="90"/>
      <x:c r="K29" s="90"/>
      <x:c r="L29" s="96"/>
      <x:c r="M29" s="86" t="str">
        <x:f>IF(A29="","",IF(L29&lt;&gt;"",MAX(0,MIN(1,L29)),IF(AND(K29&lt;&gt;"",K29&gt;0,J29&lt;&gt;""),MAX(0,MIN(1,J29/K29)),IF(I29="",0,SUMIF('Lists &amp; Setup'!$A$4:$A$8,I29,'Lists &amp; Setup'!$B$4:$B$8)))))</x:f>
      </x:c>
      <x:c r="N29" s="86" t="str">
        <x:f>IF(A29="","",IF(OR(F29="",G29=""),0,IF(TODAY()&lt;F29,0,IF(TODAY()&gt;=G29,1,(TODAY()-F29+1)/MAX(1,G29-F29+1)))))</x:f>
      </x:c>
      <x:c r="O29" s="86" t="str">
        <x:f>IF(A29="","",M29-N29)</x:f>
      </x:c>
      <x:c r="P29" s="98"/>
      <x:c r="Q29" s="91"/>
      <x:c r="R29" s="88" t="str">
        <x:f>IF(A29="","",IF(M29&gt;=1,"Complete",IF(I29="Blocked","Blocked",IF(G29="","No Due Date",IF(G29&lt;TODAY(),"Overdue",IF(M29+0.1&lt;N29,"At Risk",IF(G29-TODAY()&lt;=7,"Due Soon","On Track")))))))</x:f>
      </x:c>
      <x:c r="S29" s="91"/>
    </x:row>
    <x:row r="30">
      <x:c r="A30" s="90"/>
      <x:c r="B30" s="90"/>
      <x:c r="C30" s="91"/>
      <x:c r="D30" s="90"/>
      <x:c r="E30" s="90"/>
      <x:c r="F30" s="92"/>
      <x:c r="G30" s="92"/>
      <x:c r="H30" s="84" t="str">
        <x:f>IF(A30="","",IF(OR(F30="",G30=""),"",MAX(0,G30-F30+1)))</x:f>
      </x:c>
      <x:c r="I30" s="90"/>
      <x:c r="J30" s="90"/>
      <x:c r="K30" s="90"/>
      <x:c r="L30" s="96"/>
      <x:c r="M30" s="86" t="str">
        <x:f>IF(A30="","",IF(L30&lt;&gt;"",MAX(0,MIN(1,L30)),IF(AND(K30&lt;&gt;"",K30&gt;0,J30&lt;&gt;""),MAX(0,MIN(1,J30/K30)),IF(I30="",0,SUMIF('Lists &amp; Setup'!$A$4:$A$8,I30,'Lists &amp; Setup'!$B$4:$B$8)))))</x:f>
      </x:c>
      <x:c r="N30" s="86" t="str">
        <x:f>IF(A30="","",IF(OR(F30="",G30=""),0,IF(TODAY()&lt;F30,0,IF(TODAY()&gt;=G30,1,(TODAY()-F30+1)/MAX(1,G30-F30+1)))))</x:f>
      </x:c>
      <x:c r="O30" s="86" t="str">
        <x:f>IF(A30="","",M30-N30)</x:f>
      </x:c>
      <x:c r="P30" s="98"/>
      <x:c r="Q30" s="91"/>
      <x:c r="R30" s="88" t="str">
        <x:f>IF(A30="","",IF(M30&gt;=1,"Complete",IF(I30="Blocked","Blocked",IF(G30="","No Due Date",IF(G30&lt;TODAY(),"Overdue",IF(M30+0.1&lt;N30,"At Risk",IF(G30-TODAY()&lt;=7,"Due Soon","On Track")))))))</x:f>
      </x:c>
      <x:c r="S30" s="91"/>
    </x:row>
    <x:row r="31">
      <x:c r="A31" s="90"/>
      <x:c r="B31" s="90"/>
      <x:c r="C31" s="91"/>
      <x:c r="D31" s="90"/>
      <x:c r="E31" s="90"/>
      <x:c r="F31" s="92"/>
      <x:c r="G31" s="92"/>
      <x:c r="H31" s="84" t="str">
        <x:f>IF(A31="","",IF(OR(F31="",G31=""),"",MAX(0,G31-F31+1)))</x:f>
      </x:c>
      <x:c r="I31" s="90"/>
      <x:c r="J31" s="90"/>
      <x:c r="K31" s="90"/>
      <x:c r="L31" s="96"/>
      <x:c r="M31" s="86" t="str">
        <x:f>IF(A31="","",IF(L31&lt;&gt;"",MAX(0,MIN(1,L31)),IF(AND(K31&lt;&gt;"",K31&gt;0,J31&lt;&gt;""),MAX(0,MIN(1,J31/K31)),IF(I31="",0,SUMIF('Lists &amp; Setup'!$A$4:$A$8,I31,'Lists &amp; Setup'!$B$4:$B$8)))))</x:f>
      </x:c>
      <x:c r="N31" s="86" t="str">
        <x:f>IF(A31="","",IF(OR(F31="",G31=""),0,IF(TODAY()&lt;F31,0,IF(TODAY()&gt;=G31,1,(TODAY()-F31+1)/MAX(1,G31-F31+1)))))</x:f>
      </x:c>
      <x:c r="O31" s="86" t="str">
        <x:f>IF(A31="","",M31-N31)</x:f>
      </x:c>
      <x:c r="P31" s="98"/>
      <x:c r="Q31" s="91"/>
      <x:c r="R31" s="88" t="str">
        <x:f>IF(A31="","",IF(M31&gt;=1,"Complete",IF(I31="Blocked","Blocked",IF(G31="","No Due Date",IF(G31&lt;TODAY(),"Overdue",IF(M31+0.1&lt;N31,"At Risk",IF(G31-TODAY()&lt;=7,"Due Soon","On Track")))))))</x:f>
      </x:c>
      <x:c r="S31" s="91"/>
    </x:row>
    <x:row r="32">
      <x:c r="A32" s="90"/>
      <x:c r="B32" s="90"/>
      <x:c r="C32" s="91"/>
      <x:c r="D32" s="90"/>
      <x:c r="E32" s="90"/>
      <x:c r="F32" s="92"/>
      <x:c r="G32" s="92"/>
      <x:c r="H32" s="84" t="str">
        <x:f>IF(A32="","",IF(OR(F32="",G32=""),"",MAX(0,G32-F32+1)))</x:f>
      </x:c>
      <x:c r="I32" s="90"/>
      <x:c r="J32" s="90"/>
      <x:c r="K32" s="90"/>
      <x:c r="L32" s="96"/>
      <x:c r="M32" s="86" t="str">
        <x:f>IF(A32="","",IF(L32&lt;&gt;"",MAX(0,MIN(1,L32)),IF(AND(K32&lt;&gt;"",K32&gt;0,J32&lt;&gt;""),MAX(0,MIN(1,J32/K32)),IF(I32="",0,SUMIF('Lists &amp; Setup'!$A$4:$A$8,I32,'Lists &amp; Setup'!$B$4:$B$8)))))</x:f>
      </x:c>
      <x:c r="N32" s="86" t="str">
        <x:f>IF(A32="","",IF(OR(F32="",G32=""),0,IF(TODAY()&lt;F32,0,IF(TODAY()&gt;=G32,1,(TODAY()-F32+1)/MAX(1,G32-F32+1)))))</x:f>
      </x:c>
      <x:c r="O32" s="86" t="str">
        <x:f>IF(A32="","",M32-N32)</x:f>
      </x:c>
      <x:c r="P32" s="98"/>
      <x:c r="Q32" s="91"/>
      <x:c r="R32" s="88" t="str">
        <x:f>IF(A32="","",IF(M32&gt;=1,"Complete",IF(I32="Blocked","Blocked",IF(G32="","No Due Date",IF(G32&lt;TODAY(),"Overdue",IF(M32+0.1&lt;N32,"At Risk",IF(G32-TODAY()&lt;=7,"Due Soon","On Track")))))))</x:f>
      </x:c>
      <x:c r="S32" s="91"/>
    </x:row>
    <x:row r="33">
      <x:c r="A33" s="90"/>
      <x:c r="B33" s="90"/>
      <x:c r="C33" s="91"/>
      <x:c r="D33" s="90"/>
      <x:c r="E33" s="90"/>
      <x:c r="F33" s="92"/>
      <x:c r="G33" s="92"/>
      <x:c r="H33" s="84" t="str">
        <x:f>IF(A33="","",IF(OR(F33="",G33=""),"",MAX(0,G33-F33+1)))</x:f>
      </x:c>
      <x:c r="I33" s="90"/>
      <x:c r="J33" s="90"/>
      <x:c r="K33" s="90"/>
      <x:c r="L33" s="96"/>
      <x:c r="M33" s="86" t="str">
        <x:f>IF(A33="","",IF(L33&lt;&gt;"",MAX(0,MIN(1,L33)),IF(AND(K33&lt;&gt;"",K33&gt;0,J33&lt;&gt;""),MAX(0,MIN(1,J33/K33)),IF(I33="",0,SUMIF('Lists &amp; Setup'!$A$4:$A$8,I33,'Lists &amp; Setup'!$B$4:$B$8)))))</x:f>
      </x:c>
      <x:c r="N33" s="86" t="str">
        <x:f>IF(A33="","",IF(OR(F33="",G33=""),0,IF(TODAY()&lt;F33,0,IF(TODAY()&gt;=G33,1,(TODAY()-F33+1)/MAX(1,G33-F33+1)))))</x:f>
      </x:c>
      <x:c r="O33" s="86" t="str">
        <x:f>IF(A33="","",M33-N33)</x:f>
      </x:c>
      <x:c r="P33" s="98"/>
      <x:c r="Q33" s="91"/>
      <x:c r="R33" s="88" t="str">
        <x:f>IF(A33="","",IF(M33&gt;=1,"Complete",IF(I33="Blocked","Blocked",IF(G33="","No Due Date",IF(G33&lt;TODAY(),"Overdue",IF(M33+0.1&lt;N33,"At Risk",IF(G33-TODAY()&lt;=7,"Due Soon","On Track")))))))</x:f>
      </x:c>
      <x:c r="S33" s="91"/>
    </x:row>
    <x:row r="34">
      <x:c r="A34" s="90"/>
      <x:c r="B34" s="90"/>
      <x:c r="C34" s="91"/>
      <x:c r="D34" s="90"/>
      <x:c r="E34" s="90"/>
      <x:c r="F34" s="92"/>
      <x:c r="G34" s="92"/>
      <x:c r="H34" s="84" t="str">
        <x:f>IF(A34="","",IF(OR(F34="",G34=""),"",MAX(0,G34-F34+1)))</x:f>
      </x:c>
      <x:c r="I34" s="90"/>
      <x:c r="J34" s="90"/>
      <x:c r="K34" s="90"/>
      <x:c r="L34" s="96"/>
      <x:c r="M34" s="86" t="str">
        <x:f>IF(A34="","",IF(L34&lt;&gt;"",MAX(0,MIN(1,L34)),IF(AND(K34&lt;&gt;"",K34&gt;0,J34&lt;&gt;""),MAX(0,MIN(1,J34/K34)),IF(I34="",0,SUMIF('Lists &amp; Setup'!$A$4:$A$8,I34,'Lists &amp; Setup'!$B$4:$B$8)))))</x:f>
      </x:c>
      <x:c r="N34" s="86" t="str">
        <x:f>IF(A34="","",IF(OR(F34="",G34=""),0,IF(TODAY()&lt;F34,0,IF(TODAY()&gt;=G34,1,(TODAY()-F34+1)/MAX(1,G34-F34+1)))))</x:f>
      </x:c>
      <x:c r="O34" s="86" t="str">
        <x:f>IF(A34="","",M34-N34)</x:f>
      </x:c>
      <x:c r="P34" s="98"/>
      <x:c r="Q34" s="91"/>
      <x:c r="R34" s="88" t="str">
        <x:f>IF(A34="","",IF(M34&gt;=1,"Complete",IF(I34="Blocked","Blocked",IF(G34="","No Due Date",IF(G34&lt;TODAY(),"Overdue",IF(M34+0.1&lt;N34,"At Risk",IF(G34-TODAY()&lt;=7,"Due Soon","On Track")))))))</x:f>
      </x:c>
      <x:c r="S34" s="91"/>
    </x:row>
    <x:row r="35">
      <x:c r="A35" s="90"/>
      <x:c r="B35" s="90"/>
      <x:c r="C35" s="91"/>
      <x:c r="D35" s="90"/>
      <x:c r="E35" s="90"/>
      <x:c r="F35" s="92"/>
      <x:c r="G35" s="92"/>
      <x:c r="H35" s="84" t="str">
        <x:f>IF(A35="","",IF(OR(F35="",G35=""),"",MAX(0,G35-F35+1)))</x:f>
      </x:c>
      <x:c r="I35" s="90"/>
      <x:c r="J35" s="90"/>
      <x:c r="K35" s="90"/>
      <x:c r="L35" s="96"/>
      <x:c r="M35" s="86" t="str">
        <x:f>IF(A35="","",IF(L35&lt;&gt;"",MAX(0,MIN(1,L35)),IF(AND(K35&lt;&gt;"",K35&gt;0,J35&lt;&gt;""),MAX(0,MIN(1,J35/K35)),IF(I35="",0,SUMIF('Lists &amp; Setup'!$A$4:$A$8,I35,'Lists &amp; Setup'!$B$4:$B$8)))))</x:f>
      </x:c>
      <x:c r="N35" s="86" t="str">
        <x:f>IF(A35="","",IF(OR(F35="",G35=""),0,IF(TODAY()&lt;F35,0,IF(TODAY()&gt;=G35,1,(TODAY()-F35+1)/MAX(1,G35-F35+1)))))</x:f>
      </x:c>
      <x:c r="O35" s="86" t="str">
        <x:f>IF(A35="","",M35-N35)</x:f>
      </x:c>
      <x:c r="P35" s="98"/>
      <x:c r="Q35" s="91"/>
      <x:c r="R35" s="88" t="str">
        <x:f>IF(A35="","",IF(M35&gt;=1,"Complete",IF(I35="Blocked","Blocked",IF(G35="","No Due Date",IF(G35&lt;TODAY(),"Overdue",IF(M35+0.1&lt;N35,"At Risk",IF(G35-TODAY()&lt;=7,"Due Soon","On Track")))))))</x:f>
      </x:c>
      <x:c r="S35" s="91"/>
    </x:row>
    <x:row r="36">
      <x:c r="A36" s="90"/>
      <x:c r="B36" s="90"/>
      <x:c r="C36" s="91"/>
      <x:c r="D36" s="90"/>
      <x:c r="E36" s="90"/>
      <x:c r="F36" s="92"/>
      <x:c r="G36" s="92"/>
      <x:c r="H36" s="84" t="str">
        <x:f>IF(A36="","",IF(OR(F36="",G36=""),"",MAX(0,G36-F36+1)))</x:f>
      </x:c>
      <x:c r="I36" s="90"/>
      <x:c r="J36" s="90"/>
      <x:c r="K36" s="90"/>
      <x:c r="L36" s="96"/>
      <x:c r="M36" s="86" t="str">
        <x:f>IF(A36="","",IF(L36&lt;&gt;"",MAX(0,MIN(1,L36)),IF(AND(K36&lt;&gt;"",K36&gt;0,J36&lt;&gt;""),MAX(0,MIN(1,J36/K36)),IF(I36="",0,SUMIF('Lists &amp; Setup'!$A$4:$A$8,I36,'Lists &amp; Setup'!$B$4:$B$8)))))</x:f>
      </x:c>
      <x:c r="N36" s="86" t="str">
        <x:f>IF(A36="","",IF(OR(F36="",G36=""),0,IF(TODAY()&lt;F36,0,IF(TODAY()&gt;=G36,1,(TODAY()-F36+1)/MAX(1,G36-F36+1)))))</x:f>
      </x:c>
      <x:c r="O36" s="86" t="str">
        <x:f>IF(A36="","",M36-N36)</x:f>
      </x:c>
      <x:c r="P36" s="98"/>
      <x:c r="Q36" s="91"/>
      <x:c r="R36" s="88" t="str">
        <x:f>IF(A36="","",IF(M36&gt;=1,"Complete",IF(I36="Blocked","Blocked",IF(G36="","No Due Date",IF(G36&lt;TODAY(),"Overdue",IF(M36+0.1&lt;N36,"At Risk",IF(G36-TODAY()&lt;=7,"Due Soon","On Track")))))))</x:f>
      </x:c>
      <x:c r="S36" s="91"/>
    </x:row>
    <x:row r="37">
      <x:c r="A37" s="90"/>
      <x:c r="B37" s="90"/>
      <x:c r="C37" s="91"/>
      <x:c r="D37" s="90"/>
      <x:c r="E37" s="90"/>
      <x:c r="F37" s="92"/>
      <x:c r="G37" s="92"/>
      <x:c r="H37" s="84" t="str">
        <x:f>IF(A37="","",IF(OR(F37="",G37=""),"",MAX(0,G37-F37+1)))</x:f>
      </x:c>
      <x:c r="I37" s="90"/>
      <x:c r="J37" s="90"/>
      <x:c r="K37" s="90"/>
      <x:c r="L37" s="96"/>
      <x:c r="M37" s="86" t="str">
        <x:f>IF(A37="","",IF(L37&lt;&gt;"",MAX(0,MIN(1,L37)),IF(AND(K37&lt;&gt;"",K37&gt;0,J37&lt;&gt;""),MAX(0,MIN(1,J37/K37)),IF(I37="",0,SUMIF('Lists &amp; Setup'!$A$4:$A$8,I37,'Lists &amp; Setup'!$B$4:$B$8)))))</x:f>
      </x:c>
      <x:c r="N37" s="86" t="str">
        <x:f>IF(A37="","",IF(OR(F37="",G37=""),0,IF(TODAY()&lt;F37,0,IF(TODAY()&gt;=G37,1,(TODAY()-F37+1)/MAX(1,G37-F37+1)))))</x:f>
      </x:c>
      <x:c r="O37" s="86" t="str">
        <x:f>IF(A37="","",M37-N37)</x:f>
      </x:c>
      <x:c r="P37" s="98"/>
      <x:c r="Q37" s="91"/>
      <x:c r="R37" s="88" t="str">
        <x:f>IF(A37="","",IF(M37&gt;=1,"Complete",IF(I37="Blocked","Blocked",IF(G37="","No Due Date",IF(G37&lt;TODAY(),"Overdue",IF(M37+0.1&lt;N37,"At Risk",IF(G37-TODAY()&lt;=7,"Due Soon","On Track")))))))</x:f>
      </x:c>
      <x:c r="S37" s="91"/>
    </x:row>
    <x:row r="38">
      <x:c r="A38" s="90"/>
      <x:c r="B38" s="90"/>
      <x:c r="C38" s="91"/>
      <x:c r="D38" s="90"/>
      <x:c r="E38" s="90"/>
      <x:c r="F38" s="92"/>
      <x:c r="G38" s="92"/>
      <x:c r="H38" s="84" t="str">
        <x:f>IF(A38="","",IF(OR(F38="",G38=""),"",MAX(0,G38-F38+1)))</x:f>
      </x:c>
      <x:c r="I38" s="90"/>
      <x:c r="J38" s="90"/>
      <x:c r="K38" s="90"/>
      <x:c r="L38" s="96"/>
      <x:c r="M38" s="86" t="str">
        <x:f>IF(A38="","",IF(L38&lt;&gt;"",MAX(0,MIN(1,L38)),IF(AND(K38&lt;&gt;"",K38&gt;0,J38&lt;&gt;""),MAX(0,MIN(1,J38/K38)),IF(I38="",0,SUMIF('Lists &amp; Setup'!$A$4:$A$8,I38,'Lists &amp; Setup'!$B$4:$B$8)))))</x:f>
      </x:c>
      <x:c r="N38" s="86" t="str">
        <x:f>IF(A38="","",IF(OR(F38="",G38=""),0,IF(TODAY()&lt;F38,0,IF(TODAY()&gt;=G38,1,(TODAY()-F38+1)/MAX(1,G38-F38+1)))))</x:f>
      </x:c>
      <x:c r="O38" s="86" t="str">
        <x:f>IF(A38="","",M38-N38)</x:f>
      </x:c>
      <x:c r="P38" s="98"/>
      <x:c r="Q38" s="91"/>
      <x:c r="R38" s="88" t="str">
        <x:f>IF(A38="","",IF(M38&gt;=1,"Complete",IF(I38="Blocked","Blocked",IF(G38="","No Due Date",IF(G38&lt;TODAY(),"Overdue",IF(M38+0.1&lt;N38,"At Risk",IF(G38-TODAY()&lt;=7,"Due Soon","On Track")))))))</x:f>
      </x:c>
      <x:c r="S38" s="91"/>
    </x:row>
    <x:row r="39">
      <x:c r="A39" s="90"/>
      <x:c r="B39" s="90"/>
      <x:c r="C39" s="91"/>
      <x:c r="D39" s="90"/>
      <x:c r="E39" s="90"/>
      <x:c r="F39" s="92"/>
      <x:c r="G39" s="92"/>
      <x:c r="H39" s="84" t="str">
        <x:f>IF(A39="","",IF(OR(F39="",G39=""),"",MAX(0,G39-F39+1)))</x:f>
      </x:c>
      <x:c r="I39" s="90"/>
      <x:c r="J39" s="90"/>
      <x:c r="K39" s="90"/>
      <x:c r="L39" s="96"/>
      <x:c r="M39" s="86" t="str">
        <x:f>IF(A39="","",IF(L39&lt;&gt;"",MAX(0,MIN(1,L39)),IF(AND(K39&lt;&gt;"",K39&gt;0,J39&lt;&gt;""),MAX(0,MIN(1,J39/K39)),IF(I39="",0,SUMIF('Lists &amp; Setup'!$A$4:$A$8,I39,'Lists &amp; Setup'!$B$4:$B$8)))))</x:f>
      </x:c>
      <x:c r="N39" s="86" t="str">
        <x:f>IF(A39="","",IF(OR(F39="",G39=""),0,IF(TODAY()&lt;F39,0,IF(TODAY()&gt;=G39,1,(TODAY()-F39+1)/MAX(1,G39-F39+1)))))</x:f>
      </x:c>
      <x:c r="O39" s="86" t="str">
        <x:f>IF(A39="","",M39-N39)</x:f>
      </x:c>
      <x:c r="P39" s="98"/>
      <x:c r="Q39" s="91"/>
      <x:c r="R39" s="88" t="str">
        <x:f>IF(A39="","",IF(M39&gt;=1,"Complete",IF(I39="Blocked","Blocked",IF(G39="","No Due Date",IF(G39&lt;TODAY(),"Overdue",IF(M39+0.1&lt;N39,"At Risk",IF(G39-TODAY()&lt;=7,"Due Soon","On Track")))))))</x:f>
      </x:c>
      <x:c r="S39" s="91"/>
    </x:row>
    <x:row r="40">
      <x:c r="A40" s="90"/>
      <x:c r="B40" s="90"/>
      <x:c r="C40" s="91"/>
      <x:c r="D40" s="90"/>
      <x:c r="E40" s="90"/>
      <x:c r="F40" s="92"/>
      <x:c r="G40" s="92"/>
      <x:c r="H40" s="84" t="str">
        <x:f>IF(A40="","",IF(OR(F40="",G40=""),"",MAX(0,G40-F40+1)))</x:f>
      </x:c>
      <x:c r="I40" s="90"/>
      <x:c r="J40" s="90"/>
      <x:c r="K40" s="90"/>
      <x:c r="L40" s="96"/>
      <x:c r="M40" s="86" t="str">
        <x:f>IF(A40="","",IF(L40&lt;&gt;"",MAX(0,MIN(1,L40)),IF(AND(K40&lt;&gt;"",K40&gt;0,J40&lt;&gt;""),MAX(0,MIN(1,J40/K40)),IF(I40="",0,SUMIF('Lists &amp; Setup'!$A$4:$A$8,I40,'Lists &amp; Setup'!$B$4:$B$8)))))</x:f>
      </x:c>
      <x:c r="N40" s="86" t="str">
        <x:f>IF(A40="","",IF(OR(F40="",G40=""),0,IF(TODAY()&lt;F40,0,IF(TODAY()&gt;=G40,1,(TODAY()-F40+1)/MAX(1,G40-F40+1)))))</x:f>
      </x:c>
      <x:c r="O40" s="86" t="str">
        <x:f>IF(A40="","",M40-N40)</x:f>
      </x:c>
      <x:c r="P40" s="98"/>
      <x:c r="Q40" s="91"/>
      <x:c r="R40" s="88" t="str">
        <x:f>IF(A40="","",IF(M40&gt;=1,"Complete",IF(I40="Blocked","Blocked",IF(G40="","No Due Date",IF(G40&lt;TODAY(),"Overdue",IF(M40+0.1&lt;N40,"At Risk",IF(G40-TODAY()&lt;=7,"Due Soon","On Track")))))))</x:f>
      </x:c>
      <x:c r="S40" s="91"/>
    </x:row>
    <x:row r="41">
      <x:c r="A41" s="90"/>
      <x:c r="B41" s="90"/>
      <x:c r="C41" s="91"/>
      <x:c r="D41" s="90"/>
      <x:c r="E41" s="90"/>
      <x:c r="F41" s="92"/>
      <x:c r="G41" s="92"/>
      <x:c r="H41" s="84" t="str">
        <x:f>IF(A41="","",IF(OR(F41="",G41=""),"",MAX(0,G41-F41+1)))</x:f>
      </x:c>
      <x:c r="I41" s="90"/>
      <x:c r="J41" s="90"/>
      <x:c r="K41" s="90"/>
      <x:c r="L41" s="96"/>
      <x:c r="M41" s="86" t="str">
        <x:f>IF(A41="","",IF(L41&lt;&gt;"",MAX(0,MIN(1,L41)),IF(AND(K41&lt;&gt;"",K41&gt;0,J41&lt;&gt;""),MAX(0,MIN(1,J41/K41)),IF(I41="",0,SUMIF('Lists &amp; Setup'!$A$4:$A$8,I41,'Lists &amp; Setup'!$B$4:$B$8)))))</x:f>
      </x:c>
      <x:c r="N41" s="86" t="str">
        <x:f>IF(A41="","",IF(OR(F41="",G41=""),0,IF(TODAY()&lt;F41,0,IF(TODAY()&gt;=G41,1,(TODAY()-F41+1)/MAX(1,G41-F41+1)))))</x:f>
      </x:c>
      <x:c r="O41" s="86" t="str">
        <x:f>IF(A41="","",M41-N41)</x:f>
      </x:c>
      <x:c r="P41" s="98"/>
      <x:c r="Q41" s="91"/>
      <x:c r="R41" s="88" t="str">
        <x:f>IF(A41="","",IF(M41&gt;=1,"Complete",IF(I41="Blocked","Blocked",IF(G41="","No Due Date",IF(G41&lt;TODAY(),"Overdue",IF(M41+0.1&lt;N41,"At Risk",IF(G41-TODAY()&lt;=7,"Due Soon","On Track")))))))</x:f>
      </x:c>
      <x:c r="S41" s="91"/>
    </x:row>
    <x:row r="42">
      <x:c r="A42" s="90"/>
      <x:c r="B42" s="90"/>
      <x:c r="C42" s="91"/>
      <x:c r="D42" s="90"/>
      <x:c r="E42" s="90"/>
      <x:c r="F42" s="92"/>
      <x:c r="G42" s="92"/>
      <x:c r="H42" s="84" t="str">
        <x:f>IF(A42="","",IF(OR(F42="",G42=""),"",MAX(0,G42-F42+1)))</x:f>
      </x:c>
      <x:c r="I42" s="90"/>
      <x:c r="J42" s="90"/>
      <x:c r="K42" s="90"/>
      <x:c r="L42" s="96"/>
      <x:c r="M42" s="86" t="str">
        <x:f>IF(A42="","",IF(L42&lt;&gt;"",MAX(0,MIN(1,L42)),IF(AND(K42&lt;&gt;"",K42&gt;0,J42&lt;&gt;""),MAX(0,MIN(1,J42/K42)),IF(I42="",0,SUMIF('Lists &amp; Setup'!$A$4:$A$8,I42,'Lists &amp; Setup'!$B$4:$B$8)))))</x:f>
      </x:c>
      <x:c r="N42" s="86" t="str">
        <x:f>IF(A42="","",IF(OR(F42="",G42=""),0,IF(TODAY()&lt;F42,0,IF(TODAY()&gt;=G42,1,(TODAY()-F42+1)/MAX(1,G42-F42+1)))))</x:f>
      </x:c>
      <x:c r="O42" s="86" t="str">
        <x:f>IF(A42="","",M42-N42)</x:f>
      </x:c>
      <x:c r="P42" s="98"/>
      <x:c r="Q42" s="91"/>
      <x:c r="R42" s="88" t="str">
        <x:f>IF(A42="","",IF(M42&gt;=1,"Complete",IF(I42="Blocked","Blocked",IF(G42="","No Due Date",IF(G42&lt;TODAY(),"Overdue",IF(M42+0.1&lt;N42,"At Risk",IF(G42-TODAY()&lt;=7,"Due Soon","On Track")))))))</x:f>
      </x:c>
      <x:c r="S42" s="91"/>
    </x:row>
    <x:row r="43">
      <x:c r="A43" s="90"/>
      <x:c r="B43" s="90"/>
      <x:c r="C43" s="91"/>
      <x:c r="D43" s="90"/>
      <x:c r="E43" s="90"/>
      <x:c r="F43" s="92"/>
      <x:c r="G43" s="92"/>
      <x:c r="H43" s="84" t="str">
        <x:f>IF(A43="","",IF(OR(F43="",G43=""),"",MAX(0,G43-F43+1)))</x:f>
      </x:c>
      <x:c r="I43" s="90"/>
      <x:c r="J43" s="90"/>
      <x:c r="K43" s="90"/>
      <x:c r="L43" s="96"/>
      <x:c r="M43" s="86" t="str">
        <x:f>IF(A43="","",IF(L43&lt;&gt;"",MAX(0,MIN(1,L43)),IF(AND(K43&lt;&gt;"",K43&gt;0,J43&lt;&gt;""),MAX(0,MIN(1,J43/K43)),IF(I43="",0,SUMIF('Lists &amp; Setup'!$A$4:$A$8,I43,'Lists &amp; Setup'!$B$4:$B$8)))))</x:f>
      </x:c>
      <x:c r="N43" s="86" t="str">
        <x:f>IF(A43="","",IF(OR(F43="",G43=""),0,IF(TODAY()&lt;F43,0,IF(TODAY()&gt;=G43,1,(TODAY()-F43+1)/MAX(1,G43-F43+1)))))</x:f>
      </x:c>
      <x:c r="O43" s="86" t="str">
        <x:f>IF(A43="","",M43-N43)</x:f>
      </x:c>
      <x:c r="P43" s="98"/>
      <x:c r="Q43" s="91"/>
      <x:c r="R43" s="88" t="str">
        <x:f>IF(A43="","",IF(M43&gt;=1,"Complete",IF(I43="Blocked","Blocked",IF(G43="","No Due Date",IF(G43&lt;TODAY(),"Overdue",IF(M43+0.1&lt;N43,"At Risk",IF(G43-TODAY()&lt;=7,"Due Soon","On Track")))))))</x:f>
      </x:c>
      <x:c r="S43" s="91"/>
    </x:row>
    <x:row r="44">
      <x:c r="A44" s="90"/>
      <x:c r="B44" s="90"/>
      <x:c r="C44" s="91"/>
      <x:c r="D44" s="90"/>
      <x:c r="E44" s="90"/>
      <x:c r="F44" s="92"/>
      <x:c r="G44" s="92"/>
      <x:c r="H44" s="84" t="str">
        <x:f>IF(A44="","",IF(OR(F44="",G44=""),"",MAX(0,G44-F44+1)))</x:f>
      </x:c>
      <x:c r="I44" s="90"/>
      <x:c r="J44" s="90"/>
      <x:c r="K44" s="90"/>
      <x:c r="L44" s="96"/>
      <x:c r="M44" s="86" t="str">
        <x:f>IF(A44="","",IF(L44&lt;&gt;"",MAX(0,MIN(1,L44)),IF(AND(K44&lt;&gt;"",K44&gt;0,J44&lt;&gt;""),MAX(0,MIN(1,J44/K44)),IF(I44="",0,SUMIF('Lists &amp; Setup'!$A$4:$A$8,I44,'Lists &amp; Setup'!$B$4:$B$8)))))</x:f>
      </x:c>
      <x:c r="N44" s="86" t="str">
        <x:f>IF(A44="","",IF(OR(F44="",G44=""),0,IF(TODAY()&lt;F44,0,IF(TODAY()&gt;=G44,1,(TODAY()-F44+1)/MAX(1,G44-F44+1)))))</x:f>
      </x:c>
      <x:c r="O44" s="86" t="str">
        <x:f>IF(A44="","",M44-N44)</x:f>
      </x:c>
      <x:c r="P44" s="98"/>
      <x:c r="Q44" s="91"/>
      <x:c r="R44" s="88" t="str">
        <x:f>IF(A44="","",IF(M44&gt;=1,"Complete",IF(I44="Blocked","Blocked",IF(G44="","No Due Date",IF(G44&lt;TODAY(),"Overdue",IF(M44+0.1&lt;N44,"At Risk",IF(G44-TODAY()&lt;=7,"Due Soon","On Track")))))))</x:f>
      </x:c>
      <x:c r="S44" s="91"/>
    </x:row>
    <x:row r="45">
      <x:c r="A45" s="90"/>
      <x:c r="B45" s="90"/>
      <x:c r="C45" s="91"/>
      <x:c r="D45" s="90"/>
      <x:c r="E45" s="90"/>
      <x:c r="F45" s="92"/>
      <x:c r="G45" s="92"/>
      <x:c r="H45" s="84" t="str">
        <x:f>IF(A45="","",IF(OR(F45="",G45=""),"",MAX(0,G45-F45+1)))</x:f>
      </x:c>
      <x:c r="I45" s="90"/>
      <x:c r="J45" s="90"/>
      <x:c r="K45" s="90"/>
      <x:c r="L45" s="96"/>
      <x:c r="M45" s="86" t="str">
        <x:f>IF(A45="","",IF(L45&lt;&gt;"",MAX(0,MIN(1,L45)),IF(AND(K45&lt;&gt;"",K45&gt;0,J45&lt;&gt;""),MAX(0,MIN(1,J45/K45)),IF(I45="",0,SUMIF('Lists &amp; Setup'!$A$4:$A$8,I45,'Lists &amp; Setup'!$B$4:$B$8)))))</x:f>
      </x:c>
      <x:c r="N45" s="86" t="str">
        <x:f>IF(A45="","",IF(OR(F45="",G45=""),0,IF(TODAY()&lt;F45,0,IF(TODAY()&gt;=G45,1,(TODAY()-F45+1)/MAX(1,G45-F45+1)))))</x:f>
      </x:c>
      <x:c r="O45" s="86" t="str">
        <x:f>IF(A45="","",M45-N45)</x:f>
      </x:c>
      <x:c r="P45" s="98"/>
      <x:c r="Q45" s="91"/>
      <x:c r="R45" s="88" t="str">
        <x:f>IF(A45="","",IF(M45&gt;=1,"Complete",IF(I45="Blocked","Blocked",IF(G45="","No Due Date",IF(G45&lt;TODAY(),"Overdue",IF(M45+0.1&lt;N45,"At Risk",IF(G45-TODAY()&lt;=7,"Due Soon","On Track")))))))</x:f>
      </x:c>
      <x:c r="S45" s="91"/>
    </x:row>
    <x:row r="46">
      <x:c r="A46" s="90"/>
      <x:c r="B46" s="90"/>
      <x:c r="C46" s="91"/>
      <x:c r="D46" s="90"/>
      <x:c r="E46" s="90"/>
      <x:c r="F46" s="92"/>
      <x:c r="G46" s="92"/>
      <x:c r="H46" s="84" t="str">
        <x:f>IF(A46="","",IF(OR(F46="",G46=""),"",MAX(0,G46-F46+1)))</x:f>
      </x:c>
      <x:c r="I46" s="90"/>
      <x:c r="J46" s="90"/>
      <x:c r="K46" s="90"/>
      <x:c r="L46" s="96"/>
      <x:c r="M46" s="86" t="str">
        <x:f>IF(A46="","",IF(L46&lt;&gt;"",MAX(0,MIN(1,L46)),IF(AND(K46&lt;&gt;"",K46&gt;0,J46&lt;&gt;""),MAX(0,MIN(1,J46/K46)),IF(I46="",0,SUMIF('Lists &amp; Setup'!$A$4:$A$8,I46,'Lists &amp; Setup'!$B$4:$B$8)))))</x:f>
      </x:c>
      <x:c r="N46" s="86" t="str">
        <x:f>IF(A46="","",IF(OR(F46="",G46=""),0,IF(TODAY()&lt;F46,0,IF(TODAY()&gt;=G46,1,(TODAY()-F46+1)/MAX(1,G46-F46+1)))))</x:f>
      </x:c>
      <x:c r="O46" s="86" t="str">
        <x:f>IF(A46="","",M46-N46)</x:f>
      </x:c>
      <x:c r="P46" s="98"/>
      <x:c r="Q46" s="91"/>
      <x:c r="R46" s="88" t="str">
        <x:f>IF(A46="","",IF(M46&gt;=1,"Complete",IF(I46="Blocked","Blocked",IF(G46="","No Due Date",IF(G46&lt;TODAY(),"Overdue",IF(M46+0.1&lt;N46,"At Risk",IF(G46-TODAY()&lt;=7,"Due Soon","On Track")))))))</x:f>
      </x:c>
      <x:c r="S46" s="91"/>
    </x:row>
    <x:row r="47">
      <x:c r="A47" s="90"/>
      <x:c r="B47" s="90"/>
      <x:c r="C47" s="91"/>
      <x:c r="D47" s="90"/>
      <x:c r="E47" s="90"/>
      <x:c r="F47" s="92"/>
      <x:c r="G47" s="92"/>
      <x:c r="H47" s="84" t="str">
        <x:f>IF(A47="","",IF(OR(F47="",G47=""),"",MAX(0,G47-F47+1)))</x:f>
      </x:c>
      <x:c r="I47" s="90"/>
      <x:c r="J47" s="90"/>
      <x:c r="K47" s="90"/>
      <x:c r="L47" s="96"/>
      <x:c r="M47" s="86" t="str">
        <x:f>IF(A47="","",IF(L47&lt;&gt;"",MAX(0,MIN(1,L47)),IF(AND(K47&lt;&gt;"",K47&gt;0,J47&lt;&gt;""),MAX(0,MIN(1,J47/K47)),IF(I47="",0,SUMIF('Lists &amp; Setup'!$A$4:$A$8,I47,'Lists &amp; Setup'!$B$4:$B$8)))))</x:f>
      </x:c>
      <x:c r="N47" s="86" t="str">
        <x:f>IF(A47="","",IF(OR(F47="",G47=""),0,IF(TODAY()&lt;F47,0,IF(TODAY()&gt;=G47,1,(TODAY()-F47+1)/MAX(1,G47-F47+1)))))</x:f>
      </x:c>
      <x:c r="O47" s="86" t="str">
        <x:f>IF(A47="","",M47-N47)</x:f>
      </x:c>
      <x:c r="P47" s="98"/>
      <x:c r="Q47" s="91"/>
      <x:c r="R47" s="88" t="str">
        <x:f>IF(A47="","",IF(M47&gt;=1,"Complete",IF(I47="Blocked","Blocked",IF(G47="","No Due Date",IF(G47&lt;TODAY(),"Overdue",IF(M47+0.1&lt;N47,"At Risk",IF(G47-TODAY()&lt;=7,"Due Soon","On Track")))))))</x:f>
      </x:c>
      <x:c r="S47" s="91"/>
    </x:row>
    <x:row r="48">
      <x:c r="A48" s="90"/>
      <x:c r="B48" s="90"/>
      <x:c r="C48" s="91"/>
      <x:c r="D48" s="90"/>
      <x:c r="E48" s="90"/>
      <x:c r="F48" s="92"/>
      <x:c r="G48" s="92"/>
      <x:c r="H48" s="84" t="str">
        <x:f>IF(A48="","",IF(OR(F48="",G48=""),"",MAX(0,G48-F48+1)))</x:f>
      </x:c>
      <x:c r="I48" s="90"/>
      <x:c r="J48" s="90"/>
      <x:c r="K48" s="90"/>
      <x:c r="L48" s="96"/>
      <x:c r="M48" s="86" t="str">
        <x:f>IF(A48="","",IF(L48&lt;&gt;"",MAX(0,MIN(1,L48)),IF(AND(K48&lt;&gt;"",K48&gt;0,J48&lt;&gt;""),MAX(0,MIN(1,J48/K48)),IF(I48="",0,SUMIF('Lists &amp; Setup'!$A$4:$A$8,I48,'Lists &amp; Setup'!$B$4:$B$8)))))</x:f>
      </x:c>
      <x:c r="N48" s="86" t="str">
        <x:f>IF(A48="","",IF(OR(F48="",G48=""),0,IF(TODAY()&lt;F48,0,IF(TODAY()&gt;=G48,1,(TODAY()-F48+1)/MAX(1,G48-F48+1)))))</x:f>
      </x:c>
      <x:c r="O48" s="86" t="str">
        <x:f>IF(A48="","",M48-N48)</x:f>
      </x:c>
      <x:c r="P48" s="98"/>
      <x:c r="Q48" s="91"/>
      <x:c r="R48" s="88" t="str">
        <x:f>IF(A48="","",IF(M48&gt;=1,"Complete",IF(I48="Blocked","Blocked",IF(G48="","No Due Date",IF(G48&lt;TODAY(),"Overdue",IF(M48+0.1&lt;N48,"At Risk",IF(G48-TODAY()&lt;=7,"Due Soon","On Track")))))))</x:f>
      </x:c>
      <x:c r="S48" s="91"/>
    </x:row>
    <x:row r="49">
      <x:c r="A49" s="90"/>
      <x:c r="B49" s="90"/>
      <x:c r="C49" s="91"/>
      <x:c r="D49" s="90"/>
      <x:c r="E49" s="90"/>
      <x:c r="F49" s="92"/>
      <x:c r="G49" s="92"/>
      <x:c r="H49" s="84" t="str">
        <x:f>IF(A49="","",IF(OR(F49="",G49=""),"",MAX(0,G49-F49+1)))</x:f>
      </x:c>
      <x:c r="I49" s="90"/>
      <x:c r="J49" s="90"/>
      <x:c r="K49" s="90"/>
      <x:c r="L49" s="96"/>
      <x:c r="M49" s="86" t="str">
        <x:f>IF(A49="","",IF(L49&lt;&gt;"",MAX(0,MIN(1,L49)),IF(AND(K49&lt;&gt;"",K49&gt;0,J49&lt;&gt;""),MAX(0,MIN(1,J49/K49)),IF(I49="",0,SUMIF('Lists &amp; Setup'!$A$4:$A$8,I49,'Lists &amp; Setup'!$B$4:$B$8)))))</x:f>
      </x:c>
      <x:c r="N49" s="86" t="str">
        <x:f>IF(A49="","",IF(OR(F49="",G49=""),0,IF(TODAY()&lt;F49,0,IF(TODAY()&gt;=G49,1,(TODAY()-F49+1)/MAX(1,G49-F49+1)))))</x:f>
      </x:c>
      <x:c r="O49" s="86" t="str">
        <x:f>IF(A49="","",M49-N49)</x:f>
      </x:c>
      <x:c r="P49" s="98"/>
      <x:c r="Q49" s="91"/>
      <x:c r="R49" s="88" t="str">
        <x:f>IF(A49="","",IF(M49&gt;=1,"Complete",IF(I49="Blocked","Blocked",IF(G49="","No Due Date",IF(G49&lt;TODAY(),"Overdue",IF(M49+0.1&lt;N49,"At Risk",IF(G49-TODAY()&lt;=7,"Due Soon","On Track")))))))</x:f>
      </x:c>
      <x:c r="S49" s="91"/>
    </x:row>
    <x:row r="50">
      <x:c r="A50" s="90"/>
      <x:c r="B50" s="90"/>
      <x:c r="C50" s="91"/>
      <x:c r="D50" s="90"/>
      <x:c r="E50" s="90"/>
      <x:c r="F50" s="92"/>
      <x:c r="G50" s="92"/>
      <x:c r="H50" s="84" t="str">
        <x:f>IF(A50="","",IF(OR(F50="",G50=""),"",MAX(0,G50-F50+1)))</x:f>
      </x:c>
      <x:c r="I50" s="90"/>
      <x:c r="J50" s="90"/>
      <x:c r="K50" s="90"/>
      <x:c r="L50" s="96"/>
      <x:c r="M50" s="86" t="str">
        <x:f>IF(A50="","",IF(L50&lt;&gt;"",MAX(0,MIN(1,L50)),IF(AND(K50&lt;&gt;"",K50&gt;0,J50&lt;&gt;""),MAX(0,MIN(1,J50/K50)),IF(I50="",0,SUMIF('Lists &amp; Setup'!$A$4:$A$8,I50,'Lists &amp; Setup'!$B$4:$B$8)))))</x:f>
      </x:c>
      <x:c r="N50" s="86" t="str">
        <x:f>IF(A50="","",IF(OR(F50="",G50=""),0,IF(TODAY()&lt;F50,0,IF(TODAY()&gt;=G50,1,(TODAY()-F50+1)/MAX(1,G50-F50+1)))))</x:f>
      </x:c>
      <x:c r="O50" s="86" t="str">
        <x:f>IF(A50="","",M50-N50)</x:f>
      </x:c>
      <x:c r="P50" s="98"/>
      <x:c r="Q50" s="91"/>
      <x:c r="R50" s="88" t="str">
        <x:f>IF(A50="","",IF(M50&gt;=1,"Complete",IF(I50="Blocked","Blocked",IF(G50="","No Due Date",IF(G50&lt;TODAY(),"Overdue",IF(M50+0.1&lt;N50,"At Risk",IF(G50-TODAY()&lt;=7,"Due Soon","On Track")))))))</x:f>
      </x:c>
      <x:c r="S50" s="91"/>
    </x:row>
    <x:row r="51">
      <x:c r="A51" s="90"/>
      <x:c r="B51" s="90"/>
      <x:c r="C51" s="91"/>
      <x:c r="D51" s="90"/>
      <x:c r="E51" s="90"/>
      <x:c r="F51" s="92"/>
      <x:c r="G51" s="92"/>
      <x:c r="H51" s="84" t="str">
        <x:f>IF(A51="","",IF(OR(F51="",G51=""),"",MAX(0,G51-F51+1)))</x:f>
      </x:c>
      <x:c r="I51" s="90"/>
      <x:c r="J51" s="90"/>
      <x:c r="K51" s="90"/>
      <x:c r="L51" s="96"/>
      <x:c r="M51" s="86" t="str">
        <x:f>IF(A51="","",IF(L51&lt;&gt;"",MAX(0,MIN(1,L51)),IF(AND(K51&lt;&gt;"",K51&gt;0,J51&lt;&gt;""),MAX(0,MIN(1,J51/K51)),IF(I51="",0,SUMIF('Lists &amp; Setup'!$A$4:$A$8,I51,'Lists &amp; Setup'!$B$4:$B$8)))))</x:f>
      </x:c>
      <x:c r="N51" s="86" t="str">
        <x:f>IF(A51="","",IF(OR(F51="",G51=""),0,IF(TODAY()&lt;F51,0,IF(TODAY()&gt;=G51,1,(TODAY()-F51+1)/MAX(1,G51-F51+1)))))</x:f>
      </x:c>
      <x:c r="O51" s="86" t="str">
        <x:f>IF(A51="","",M51-N51)</x:f>
      </x:c>
      <x:c r="P51" s="98"/>
      <x:c r="Q51" s="91"/>
      <x:c r="R51" s="88" t="str">
        <x:f>IF(A51="","",IF(M51&gt;=1,"Complete",IF(I51="Blocked","Blocked",IF(G51="","No Due Date",IF(G51&lt;TODAY(),"Overdue",IF(M51+0.1&lt;N51,"At Risk",IF(G51-TODAY()&lt;=7,"Due Soon","On Track")))))))</x:f>
      </x:c>
      <x:c r="S51" s="91"/>
    </x:row>
    <x:row r="52">
      <x:c r="A52" s="90"/>
      <x:c r="B52" s="90"/>
      <x:c r="C52" s="91"/>
      <x:c r="D52" s="90"/>
      <x:c r="E52" s="90"/>
      <x:c r="F52" s="92"/>
      <x:c r="G52" s="92"/>
      <x:c r="H52" s="84" t="str">
        <x:f>IF(A52="","",IF(OR(F52="",G52=""),"",MAX(0,G52-F52+1)))</x:f>
      </x:c>
      <x:c r="I52" s="90"/>
      <x:c r="J52" s="90"/>
      <x:c r="K52" s="90"/>
      <x:c r="L52" s="96"/>
      <x:c r="M52" s="86" t="str">
        <x:f>IF(A52="","",IF(L52&lt;&gt;"",MAX(0,MIN(1,L52)),IF(AND(K52&lt;&gt;"",K52&gt;0,J52&lt;&gt;""),MAX(0,MIN(1,J52/K52)),IF(I52="",0,SUMIF('Lists &amp; Setup'!$A$4:$A$8,I52,'Lists &amp; Setup'!$B$4:$B$8)))))</x:f>
      </x:c>
      <x:c r="N52" s="86" t="str">
        <x:f>IF(A52="","",IF(OR(F52="",G52=""),0,IF(TODAY()&lt;F52,0,IF(TODAY()&gt;=G52,1,(TODAY()-F52+1)/MAX(1,G52-F52+1)))))</x:f>
      </x:c>
      <x:c r="O52" s="86" t="str">
        <x:f>IF(A52="","",M52-N52)</x:f>
      </x:c>
      <x:c r="P52" s="98"/>
      <x:c r="Q52" s="91"/>
      <x:c r="R52" s="88" t="str">
        <x:f>IF(A52="","",IF(M52&gt;=1,"Complete",IF(I52="Blocked","Blocked",IF(G52="","No Due Date",IF(G52&lt;TODAY(),"Overdue",IF(M52+0.1&lt;N52,"At Risk",IF(G52-TODAY()&lt;=7,"Due Soon","On Track")))))))</x:f>
      </x:c>
      <x:c r="S52" s="91"/>
    </x:row>
    <x:row r="53">
      <x:c r="A53" s="90"/>
      <x:c r="B53" s="90"/>
      <x:c r="C53" s="91"/>
      <x:c r="D53" s="90"/>
      <x:c r="E53" s="90"/>
      <x:c r="F53" s="92"/>
      <x:c r="G53" s="92"/>
      <x:c r="H53" s="84" t="str">
        <x:f>IF(A53="","",IF(OR(F53="",G53=""),"",MAX(0,G53-F53+1)))</x:f>
      </x:c>
      <x:c r="I53" s="90"/>
      <x:c r="J53" s="90"/>
      <x:c r="K53" s="90"/>
      <x:c r="L53" s="96"/>
      <x:c r="M53" s="86" t="str">
        <x:f>IF(A53="","",IF(L53&lt;&gt;"",MAX(0,MIN(1,L53)),IF(AND(K53&lt;&gt;"",K53&gt;0,J53&lt;&gt;""),MAX(0,MIN(1,J53/K53)),IF(I53="",0,SUMIF('Lists &amp; Setup'!$A$4:$A$8,I53,'Lists &amp; Setup'!$B$4:$B$8)))))</x:f>
      </x:c>
      <x:c r="N53" s="86" t="str">
        <x:f>IF(A53="","",IF(OR(F53="",G53=""),0,IF(TODAY()&lt;F53,0,IF(TODAY()&gt;=G53,1,(TODAY()-F53+1)/MAX(1,G53-F53+1)))))</x:f>
      </x:c>
      <x:c r="O53" s="86" t="str">
        <x:f>IF(A53="","",M53-N53)</x:f>
      </x:c>
      <x:c r="P53" s="98"/>
      <x:c r="Q53" s="91"/>
      <x:c r="R53" s="88" t="str">
        <x:f>IF(A53="","",IF(M53&gt;=1,"Complete",IF(I53="Blocked","Blocked",IF(G53="","No Due Date",IF(G53&lt;TODAY(),"Overdue",IF(M53+0.1&lt;N53,"At Risk",IF(G53-TODAY()&lt;=7,"Due Soon","On Track")))))))</x:f>
      </x:c>
      <x:c r="S53" s="91"/>
    </x:row>
    <x:row r="54">
      <x:c r="A54" s="90"/>
      <x:c r="B54" s="90"/>
      <x:c r="C54" s="91"/>
      <x:c r="D54" s="90"/>
      <x:c r="E54" s="90"/>
      <x:c r="F54" s="92"/>
      <x:c r="G54" s="92"/>
      <x:c r="H54" s="84" t="str">
        <x:f>IF(A54="","",IF(OR(F54="",G54=""),"",MAX(0,G54-F54+1)))</x:f>
      </x:c>
      <x:c r="I54" s="90"/>
      <x:c r="J54" s="90"/>
      <x:c r="K54" s="90"/>
      <x:c r="L54" s="96"/>
      <x:c r="M54" s="86" t="str">
        <x:f>IF(A54="","",IF(L54&lt;&gt;"",MAX(0,MIN(1,L54)),IF(AND(K54&lt;&gt;"",K54&gt;0,J54&lt;&gt;""),MAX(0,MIN(1,J54/K54)),IF(I54="",0,SUMIF('Lists &amp; Setup'!$A$4:$A$8,I54,'Lists &amp; Setup'!$B$4:$B$8)))))</x:f>
      </x:c>
      <x:c r="N54" s="86" t="str">
        <x:f>IF(A54="","",IF(OR(F54="",G54=""),0,IF(TODAY()&lt;F54,0,IF(TODAY()&gt;=G54,1,(TODAY()-F54+1)/MAX(1,G54-F54+1)))))</x:f>
      </x:c>
      <x:c r="O54" s="86" t="str">
        <x:f>IF(A54="","",M54-N54)</x:f>
      </x:c>
      <x:c r="P54" s="98"/>
      <x:c r="Q54" s="91"/>
      <x:c r="R54" s="88" t="str">
        <x:f>IF(A54="","",IF(M54&gt;=1,"Complete",IF(I54="Blocked","Blocked",IF(G54="","No Due Date",IF(G54&lt;TODAY(),"Overdue",IF(M54+0.1&lt;N54,"At Risk",IF(G54-TODAY()&lt;=7,"Due Soon","On Track")))))))</x:f>
      </x:c>
      <x:c r="S54" s="91"/>
    </x:row>
    <x:row r="55">
      <x:c r="A55" s="90"/>
      <x:c r="B55" s="90"/>
      <x:c r="C55" s="91"/>
      <x:c r="D55" s="90"/>
      <x:c r="E55" s="90"/>
      <x:c r="F55" s="92"/>
      <x:c r="G55" s="92"/>
      <x:c r="H55" s="84" t="str">
        <x:f>IF(A55="","",IF(OR(F55="",G55=""),"",MAX(0,G55-F55+1)))</x:f>
      </x:c>
      <x:c r="I55" s="90"/>
      <x:c r="J55" s="90"/>
      <x:c r="K55" s="90"/>
      <x:c r="L55" s="96"/>
      <x:c r="M55" s="86" t="str">
        <x:f>IF(A55="","",IF(L55&lt;&gt;"",MAX(0,MIN(1,L55)),IF(AND(K55&lt;&gt;"",K55&gt;0,J55&lt;&gt;""),MAX(0,MIN(1,J55/K55)),IF(I55="",0,SUMIF('Lists &amp; Setup'!$A$4:$A$8,I55,'Lists &amp; Setup'!$B$4:$B$8)))))</x:f>
      </x:c>
      <x:c r="N55" s="86" t="str">
        <x:f>IF(A55="","",IF(OR(F55="",G55=""),0,IF(TODAY()&lt;F55,0,IF(TODAY()&gt;=G55,1,(TODAY()-F55+1)/MAX(1,G55-F55+1)))))</x:f>
      </x:c>
      <x:c r="O55" s="86" t="str">
        <x:f>IF(A55="","",M55-N55)</x:f>
      </x:c>
      <x:c r="P55" s="98"/>
      <x:c r="Q55" s="91"/>
      <x:c r="R55" s="88" t="str">
        <x:f>IF(A55="","",IF(M55&gt;=1,"Complete",IF(I55="Blocked","Blocked",IF(G55="","No Due Date",IF(G55&lt;TODAY(),"Overdue",IF(M55+0.1&lt;N55,"At Risk",IF(G55-TODAY()&lt;=7,"Due Soon","On Track")))))))</x:f>
      </x:c>
      <x:c r="S55" s="91"/>
    </x:row>
    <x:row r="56">
      <x:c r="A56" s="90"/>
      <x:c r="B56" s="90"/>
      <x:c r="C56" s="91"/>
      <x:c r="D56" s="90"/>
      <x:c r="E56" s="90"/>
      <x:c r="F56" s="92"/>
      <x:c r="G56" s="92"/>
      <x:c r="H56" s="84" t="str">
        <x:f>IF(A56="","",IF(OR(F56="",G56=""),"",MAX(0,G56-F56+1)))</x:f>
      </x:c>
      <x:c r="I56" s="90"/>
      <x:c r="J56" s="90"/>
      <x:c r="K56" s="90"/>
      <x:c r="L56" s="96"/>
      <x:c r="M56" s="86" t="str">
        <x:f>IF(A56="","",IF(L56&lt;&gt;"",MAX(0,MIN(1,L56)),IF(AND(K56&lt;&gt;"",K56&gt;0,J56&lt;&gt;""),MAX(0,MIN(1,J56/K56)),IF(I56="",0,SUMIF('Lists &amp; Setup'!$A$4:$A$8,I56,'Lists &amp; Setup'!$B$4:$B$8)))))</x:f>
      </x:c>
      <x:c r="N56" s="86" t="str">
        <x:f>IF(A56="","",IF(OR(F56="",G56=""),0,IF(TODAY()&lt;F56,0,IF(TODAY()&gt;=G56,1,(TODAY()-F56+1)/MAX(1,G56-F56+1)))))</x:f>
      </x:c>
      <x:c r="O56" s="86" t="str">
        <x:f>IF(A56="","",M56-N56)</x:f>
      </x:c>
      <x:c r="P56" s="98"/>
      <x:c r="Q56" s="91"/>
      <x:c r="R56" s="88" t="str">
        <x:f>IF(A56="","",IF(M56&gt;=1,"Complete",IF(I56="Blocked","Blocked",IF(G56="","No Due Date",IF(G56&lt;TODAY(),"Overdue",IF(M56+0.1&lt;N56,"At Risk",IF(G56-TODAY()&lt;=7,"Due Soon","On Track")))))))</x:f>
      </x:c>
      <x:c r="S56" s="91"/>
    </x:row>
    <x:row r="57">
      <x:c r="A57" s="90"/>
      <x:c r="B57" s="90"/>
      <x:c r="C57" s="91"/>
      <x:c r="D57" s="90"/>
      <x:c r="E57" s="90"/>
      <x:c r="F57" s="92"/>
      <x:c r="G57" s="92"/>
      <x:c r="H57" s="84" t="str">
        <x:f>IF(A57="","",IF(OR(F57="",G57=""),"",MAX(0,G57-F57+1)))</x:f>
      </x:c>
      <x:c r="I57" s="90"/>
      <x:c r="J57" s="90"/>
      <x:c r="K57" s="90"/>
      <x:c r="L57" s="96"/>
      <x:c r="M57" s="86" t="str">
        <x:f>IF(A57="","",IF(L57&lt;&gt;"",MAX(0,MIN(1,L57)),IF(AND(K57&lt;&gt;"",K57&gt;0,J57&lt;&gt;""),MAX(0,MIN(1,J57/K57)),IF(I57="",0,SUMIF('Lists &amp; Setup'!$A$4:$A$8,I57,'Lists &amp; Setup'!$B$4:$B$8)))))</x:f>
      </x:c>
      <x:c r="N57" s="86" t="str">
        <x:f>IF(A57="","",IF(OR(F57="",G57=""),0,IF(TODAY()&lt;F57,0,IF(TODAY()&gt;=G57,1,(TODAY()-F57+1)/MAX(1,G57-F57+1)))))</x:f>
      </x:c>
      <x:c r="O57" s="86" t="str">
        <x:f>IF(A57="","",M57-N57)</x:f>
      </x:c>
      <x:c r="P57" s="98"/>
      <x:c r="Q57" s="91"/>
      <x:c r="R57" s="88" t="str">
        <x:f>IF(A57="","",IF(M57&gt;=1,"Complete",IF(I57="Blocked","Blocked",IF(G57="","No Due Date",IF(G57&lt;TODAY(),"Overdue",IF(M57+0.1&lt;N57,"At Risk",IF(G57-TODAY()&lt;=7,"Due Soon","On Track")))))))</x:f>
      </x:c>
      <x:c r="S57" s="91"/>
    </x:row>
    <x:row r="58">
      <x:c r="A58" s="90"/>
      <x:c r="B58" s="90"/>
      <x:c r="C58" s="91"/>
      <x:c r="D58" s="90"/>
      <x:c r="E58" s="90"/>
      <x:c r="F58" s="92"/>
      <x:c r="G58" s="92"/>
      <x:c r="H58" s="84" t="str">
        <x:f>IF(A58="","",IF(OR(F58="",G58=""),"",MAX(0,G58-F58+1)))</x:f>
      </x:c>
      <x:c r="I58" s="90"/>
      <x:c r="J58" s="90"/>
      <x:c r="K58" s="90"/>
      <x:c r="L58" s="96"/>
      <x:c r="M58" s="86" t="str">
        <x:f>IF(A58="","",IF(L58&lt;&gt;"",MAX(0,MIN(1,L58)),IF(AND(K58&lt;&gt;"",K58&gt;0,J58&lt;&gt;""),MAX(0,MIN(1,J58/K58)),IF(I58="",0,SUMIF('Lists &amp; Setup'!$A$4:$A$8,I58,'Lists &amp; Setup'!$B$4:$B$8)))))</x:f>
      </x:c>
      <x:c r="N58" s="86" t="str">
        <x:f>IF(A58="","",IF(OR(F58="",G58=""),0,IF(TODAY()&lt;F58,0,IF(TODAY()&gt;=G58,1,(TODAY()-F58+1)/MAX(1,G58-F58+1)))))</x:f>
      </x:c>
      <x:c r="O58" s="86" t="str">
        <x:f>IF(A58="","",M58-N58)</x:f>
      </x:c>
      <x:c r="P58" s="98"/>
      <x:c r="Q58" s="91"/>
      <x:c r="R58" s="88" t="str">
        <x:f>IF(A58="","",IF(M58&gt;=1,"Complete",IF(I58="Blocked","Blocked",IF(G58="","No Due Date",IF(G58&lt;TODAY(),"Overdue",IF(M58+0.1&lt;N58,"At Risk",IF(G58-TODAY()&lt;=7,"Due Soon","On Track")))))))</x:f>
      </x:c>
      <x:c r="S58" s="91"/>
    </x:row>
    <x:row r="59">
      <x:c r="A59" s="90"/>
      <x:c r="B59" s="90"/>
      <x:c r="C59" s="91"/>
      <x:c r="D59" s="90"/>
      <x:c r="E59" s="90"/>
      <x:c r="F59" s="92"/>
      <x:c r="G59" s="92"/>
      <x:c r="H59" s="84" t="str">
        <x:f>IF(A59="","",IF(OR(F59="",G59=""),"",MAX(0,G59-F59+1)))</x:f>
      </x:c>
      <x:c r="I59" s="90"/>
      <x:c r="J59" s="90"/>
      <x:c r="K59" s="90"/>
      <x:c r="L59" s="96"/>
      <x:c r="M59" s="86" t="str">
        <x:f>IF(A59="","",IF(L59&lt;&gt;"",MAX(0,MIN(1,L59)),IF(AND(K59&lt;&gt;"",K59&gt;0,J59&lt;&gt;""),MAX(0,MIN(1,J59/K59)),IF(I59="",0,SUMIF('Lists &amp; Setup'!$A$4:$A$8,I59,'Lists &amp; Setup'!$B$4:$B$8)))))</x:f>
      </x:c>
      <x:c r="N59" s="86" t="str">
        <x:f>IF(A59="","",IF(OR(F59="",G59=""),0,IF(TODAY()&lt;F59,0,IF(TODAY()&gt;=G59,1,(TODAY()-F59+1)/MAX(1,G59-F59+1)))))</x:f>
      </x:c>
      <x:c r="O59" s="86" t="str">
        <x:f>IF(A59="","",M59-N59)</x:f>
      </x:c>
      <x:c r="P59" s="98"/>
      <x:c r="Q59" s="91"/>
      <x:c r="R59" s="88" t="str">
        <x:f>IF(A59="","",IF(M59&gt;=1,"Complete",IF(I59="Blocked","Blocked",IF(G59="","No Due Date",IF(G59&lt;TODAY(),"Overdue",IF(M59+0.1&lt;N59,"At Risk",IF(G59-TODAY()&lt;=7,"Due Soon","On Track")))))))</x:f>
      </x:c>
      <x:c r="S59" s="91"/>
    </x:row>
    <x:row r="60">
      <x:c r="A60" s="90"/>
      <x:c r="B60" s="90"/>
      <x:c r="C60" s="91"/>
      <x:c r="D60" s="90"/>
      <x:c r="E60" s="90"/>
      <x:c r="F60" s="92"/>
      <x:c r="G60" s="92"/>
      <x:c r="H60" s="84" t="str">
        <x:f>IF(A60="","",IF(OR(F60="",G60=""),"",MAX(0,G60-F60+1)))</x:f>
      </x:c>
      <x:c r="I60" s="90"/>
      <x:c r="J60" s="90"/>
      <x:c r="K60" s="90"/>
      <x:c r="L60" s="96"/>
      <x:c r="M60" s="86" t="str">
        <x:f>IF(A60="","",IF(L60&lt;&gt;"",MAX(0,MIN(1,L60)),IF(AND(K60&lt;&gt;"",K60&gt;0,J60&lt;&gt;""),MAX(0,MIN(1,J60/K60)),IF(I60="",0,SUMIF('Lists &amp; Setup'!$A$4:$A$8,I60,'Lists &amp; Setup'!$B$4:$B$8)))))</x:f>
      </x:c>
      <x:c r="N60" s="86" t="str">
        <x:f>IF(A60="","",IF(OR(F60="",G60=""),0,IF(TODAY()&lt;F60,0,IF(TODAY()&gt;=G60,1,(TODAY()-F60+1)/MAX(1,G60-F60+1)))))</x:f>
      </x:c>
      <x:c r="O60" s="86" t="str">
        <x:f>IF(A60="","",M60-N60)</x:f>
      </x:c>
      <x:c r="P60" s="98"/>
      <x:c r="Q60" s="91"/>
      <x:c r="R60" s="88" t="str">
        <x:f>IF(A60="","",IF(M60&gt;=1,"Complete",IF(I60="Blocked","Blocked",IF(G60="","No Due Date",IF(G60&lt;TODAY(),"Overdue",IF(M60+0.1&lt;N60,"At Risk",IF(G60-TODAY()&lt;=7,"Due Soon","On Track")))))))</x:f>
      </x:c>
      <x:c r="S60" s="91"/>
    </x:row>
    <x:row r="61">
      <x:c r="A61" s="90"/>
      <x:c r="B61" s="90"/>
      <x:c r="C61" s="91"/>
      <x:c r="D61" s="90"/>
      <x:c r="E61" s="90"/>
      <x:c r="F61" s="92"/>
      <x:c r="G61" s="92"/>
      <x:c r="H61" s="84" t="str">
        <x:f>IF(A61="","",IF(OR(F61="",G61=""),"",MAX(0,G61-F61+1)))</x:f>
      </x:c>
      <x:c r="I61" s="90"/>
      <x:c r="J61" s="90"/>
      <x:c r="K61" s="90"/>
      <x:c r="L61" s="96"/>
      <x:c r="M61" s="86" t="str">
        <x:f>IF(A61="","",IF(L61&lt;&gt;"",MAX(0,MIN(1,L61)),IF(AND(K61&lt;&gt;"",K61&gt;0,J61&lt;&gt;""),MAX(0,MIN(1,J61/K61)),IF(I61="",0,SUMIF('Lists &amp; Setup'!$A$4:$A$8,I61,'Lists &amp; Setup'!$B$4:$B$8)))))</x:f>
      </x:c>
      <x:c r="N61" s="86" t="str">
        <x:f>IF(A61="","",IF(OR(F61="",G61=""),0,IF(TODAY()&lt;F61,0,IF(TODAY()&gt;=G61,1,(TODAY()-F61+1)/MAX(1,G61-F61+1)))))</x:f>
      </x:c>
      <x:c r="O61" s="86" t="str">
        <x:f>IF(A61="","",M61-N61)</x:f>
      </x:c>
      <x:c r="P61" s="98"/>
      <x:c r="Q61" s="91"/>
      <x:c r="R61" s="88" t="str">
        <x:f>IF(A61="","",IF(M61&gt;=1,"Complete",IF(I61="Blocked","Blocked",IF(G61="","No Due Date",IF(G61&lt;TODAY(),"Overdue",IF(M61+0.1&lt;N61,"At Risk",IF(G61-TODAY()&lt;=7,"Due Soon","On Track")))))))</x:f>
      </x:c>
      <x:c r="S61" s="91"/>
    </x:row>
    <x:row r="62">
      <x:c r="A62" s="90"/>
      <x:c r="B62" s="90"/>
      <x:c r="C62" s="91"/>
      <x:c r="D62" s="90"/>
      <x:c r="E62" s="90"/>
      <x:c r="F62" s="92"/>
      <x:c r="G62" s="92"/>
      <x:c r="H62" s="84" t="str">
        <x:f>IF(A62="","",IF(OR(F62="",G62=""),"",MAX(0,G62-F62+1)))</x:f>
      </x:c>
      <x:c r="I62" s="90"/>
      <x:c r="J62" s="90"/>
      <x:c r="K62" s="90"/>
      <x:c r="L62" s="96"/>
      <x:c r="M62" s="86" t="str">
        <x:f>IF(A62="","",IF(L62&lt;&gt;"",MAX(0,MIN(1,L62)),IF(AND(K62&lt;&gt;"",K62&gt;0,J62&lt;&gt;""),MAX(0,MIN(1,J62/K62)),IF(I62="",0,SUMIF('Lists &amp; Setup'!$A$4:$A$8,I62,'Lists &amp; Setup'!$B$4:$B$8)))))</x:f>
      </x:c>
      <x:c r="N62" s="86" t="str">
        <x:f>IF(A62="","",IF(OR(F62="",G62=""),0,IF(TODAY()&lt;F62,0,IF(TODAY()&gt;=G62,1,(TODAY()-F62+1)/MAX(1,G62-F62+1)))))</x:f>
      </x:c>
      <x:c r="O62" s="86" t="str">
        <x:f>IF(A62="","",M62-N62)</x:f>
      </x:c>
      <x:c r="P62" s="98"/>
      <x:c r="Q62" s="91"/>
      <x:c r="R62" s="88" t="str">
        <x:f>IF(A62="","",IF(M62&gt;=1,"Complete",IF(I62="Blocked","Blocked",IF(G62="","No Due Date",IF(G62&lt;TODAY(),"Overdue",IF(M62+0.1&lt;N62,"At Risk",IF(G62-TODAY()&lt;=7,"Due Soon","On Track")))))))</x:f>
      </x:c>
      <x:c r="S62" s="91"/>
    </x:row>
    <x:row r="63">
      <x:c r="A63" s="90"/>
      <x:c r="B63" s="90"/>
      <x:c r="C63" s="91"/>
      <x:c r="D63" s="90"/>
      <x:c r="E63" s="90"/>
      <x:c r="F63" s="92"/>
      <x:c r="G63" s="92"/>
      <x:c r="H63" s="84" t="str">
        <x:f>IF(A63="","",IF(OR(F63="",G63=""),"",MAX(0,G63-F63+1)))</x:f>
      </x:c>
      <x:c r="I63" s="90"/>
      <x:c r="J63" s="90"/>
      <x:c r="K63" s="90"/>
      <x:c r="L63" s="96"/>
      <x:c r="M63" s="86" t="str">
        <x:f>IF(A63="","",IF(L63&lt;&gt;"",MAX(0,MIN(1,L63)),IF(AND(K63&lt;&gt;"",K63&gt;0,J63&lt;&gt;""),MAX(0,MIN(1,J63/K63)),IF(I63="",0,SUMIF('Lists &amp; Setup'!$A$4:$A$8,I63,'Lists &amp; Setup'!$B$4:$B$8)))))</x:f>
      </x:c>
      <x:c r="N63" s="86" t="str">
        <x:f>IF(A63="","",IF(OR(F63="",G63=""),0,IF(TODAY()&lt;F63,0,IF(TODAY()&gt;=G63,1,(TODAY()-F63+1)/MAX(1,G63-F63+1)))))</x:f>
      </x:c>
      <x:c r="O63" s="86" t="str">
        <x:f>IF(A63="","",M63-N63)</x:f>
      </x:c>
      <x:c r="P63" s="98"/>
      <x:c r="Q63" s="91"/>
      <x:c r="R63" s="88" t="str">
        <x:f>IF(A63="","",IF(M63&gt;=1,"Complete",IF(I63="Blocked","Blocked",IF(G63="","No Due Date",IF(G63&lt;TODAY(),"Overdue",IF(M63+0.1&lt;N63,"At Risk",IF(G63-TODAY()&lt;=7,"Due Soon","On Track")))))))</x:f>
      </x:c>
      <x:c r="S63" s="91"/>
    </x:row>
    <x:row r="64">
      <x:c r="A64" s="90"/>
      <x:c r="B64" s="90"/>
      <x:c r="C64" s="91"/>
      <x:c r="D64" s="90"/>
      <x:c r="E64" s="90"/>
      <x:c r="F64" s="92"/>
      <x:c r="G64" s="92"/>
      <x:c r="H64" s="84" t="str">
        <x:f>IF(A64="","",IF(OR(F64="",G64=""),"",MAX(0,G64-F64+1)))</x:f>
      </x:c>
      <x:c r="I64" s="90"/>
      <x:c r="J64" s="90"/>
      <x:c r="K64" s="90"/>
      <x:c r="L64" s="96"/>
      <x:c r="M64" s="86" t="str">
        <x:f>IF(A64="","",IF(L64&lt;&gt;"",MAX(0,MIN(1,L64)),IF(AND(K64&lt;&gt;"",K64&gt;0,J64&lt;&gt;""),MAX(0,MIN(1,J64/K64)),IF(I64="",0,SUMIF('Lists &amp; Setup'!$A$4:$A$8,I64,'Lists &amp; Setup'!$B$4:$B$8)))))</x:f>
      </x:c>
      <x:c r="N64" s="86" t="str">
        <x:f>IF(A64="","",IF(OR(F64="",G64=""),0,IF(TODAY()&lt;F64,0,IF(TODAY()&gt;=G64,1,(TODAY()-F64+1)/MAX(1,G64-F64+1)))))</x:f>
      </x:c>
      <x:c r="O64" s="86" t="str">
        <x:f>IF(A64="","",M64-N64)</x:f>
      </x:c>
      <x:c r="P64" s="98"/>
      <x:c r="Q64" s="91"/>
      <x:c r="R64" s="88" t="str">
        <x:f>IF(A64="","",IF(M64&gt;=1,"Complete",IF(I64="Blocked","Blocked",IF(G64="","No Due Date",IF(G64&lt;TODAY(),"Overdue",IF(M64+0.1&lt;N64,"At Risk",IF(G64-TODAY()&lt;=7,"Due Soon","On Track")))))))</x:f>
      </x:c>
      <x:c r="S64" s="91"/>
    </x:row>
    <x:row r="65">
      <x:c r="A65" s="90"/>
      <x:c r="B65" s="90"/>
      <x:c r="C65" s="91"/>
      <x:c r="D65" s="90"/>
      <x:c r="E65" s="90"/>
      <x:c r="F65" s="92"/>
      <x:c r="G65" s="92"/>
      <x:c r="H65" s="84" t="str">
        <x:f>IF(A65="","",IF(OR(F65="",G65=""),"",MAX(0,G65-F65+1)))</x:f>
      </x:c>
      <x:c r="I65" s="90"/>
      <x:c r="J65" s="90"/>
      <x:c r="K65" s="90"/>
      <x:c r="L65" s="96"/>
      <x:c r="M65" s="86" t="str">
        <x:f>IF(A65="","",IF(L65&lt;&gt;"",MAX(0,MIN(1,L65)),IF(AND(K65&lt;&gt;"",K65&gt;0,J65&lt;&gt;""),MAX(0,MIN(1,J65/K65)),IF(I65="",0,SUMIF('Lists &amp; Setup'!$A$4:$A$8,I65,'Lists &amp; Setup'!$B$4:$B$8)))))</x:f>
      </x:c>
      <x:c r="N65" s="86" t="str">
        <x:f>IF(A65="","",IF(OR(F65="",G65=""),0,IF(TODAY()&lt;F65,0,IF(TODAY()&gt;=G65,1,(TODAY()-F65+1)/MAX(1,G65-F65+1)))))</x:f>
      </x:c>
      <x:c r="O65" s="86" t="str">
        <x:f>IF(A65="","",M65-N65)</x:f>
      </x:c>
      <x:c r="P65" s="98"/>
      <x:c r="Q65" s="91"/>
      <x:c r="R65" s="88" t="str">
        <x:f>IF(A65="","",IF(M65&gt;=1,"Complete",IF(I65="Blocked","Blocked",IF(G65="","No Due Date",IF(G65&lt;TODAY(),"Overdue",IF(M65+0.1&lt;N65,"At Risk",IF(G65-TODAY()&lt;=7,"Due Soon","On Track")))))))</x:f>
      </x:c>
      <x:c r="S65" s="91"/>
    </x:row>
    <x:row r="66">
      <x:c r="A66" s="90"/>
      <x:c r="B66" s="90"/>
      <x:c r="C66" s="91"/>
      <x:c r="D66" s="90"/>
      <x:c r="E66" s="90"/>
      <x:c r="F66" s="92"/>
      <x:c r="G66" s="92"/>
      <x:c r="H66" s="84" t="str">
        <x:f>IF(A66="","",IF(OR(F66="",G66=""),"",MAX(0,G66-F66+1)))</x:f>
      </x:c>
      <x:c r="I66" s="90"/>
      <x:c r="J66" s="90"/>
      <x:c r="K66" s="90"/>
      <x:c r="L66" s="96"/>
      <x:c r="M66" s="86" t="str">
        <x:f>IF(A66="","",IF(L66&lt;&gt;"",MAX(0,MIN(1,L66)),IF(AND(K66&lt;&gt;"",K66&gt;0,J66&lt;&gt;""),MAX(0,MIN(1,J66/K66)),IF(I66="",0,SUMIF('Lists &amp; Setup'!$A$4:$A$8,I66,'Lists &amp; Setup'!$B$4:$B$8)))))</x:f>
      </x:c>
      <x:c r="N66" s="86" t="str">
        <x:f>IF(A66="","",IF(OR(F66="",G66=""),0,IF(TODAY()&lt;F66,0,IF(TODAY()&gt;=G66,1,(TODAY()-F66+1)/MAX(1,G66-F66+1)))))</x:f>
      </x:c>
      <x:c r="O66" s="86" t="str">
        <x:f>IF(A66="","",M66-N66)</x:f>
      </x:c>
      <x:c r="P66" s="98"/>
      <x:c r="Q66" s="91"/>
      <x:c r="R66" s="88" t="str">
        <x:f>IF(A66="","",IF(M66&gt;=1,"Complete",IF(I66="Blocked","Blocked",IF(G66="","No Due Date",IF(G66&lt;TODAY(),"Overdue",IF(M66+0.1&lt;N66,"At Risk",IF(G66-TODAY()&lt;=7,"Due Soon","On Track")))))))</x:f>
      </x:c>
      <x:c r="S66" s="91"/>
    </x:row>
    <x:row r="67">
      <x:c r="A67" s="90"/>
      <x:c r="B67" s="90"/>
      <x:c r="C67" s="91"/>
      <x:c r="D67" s="90"/>
      <x:c r="E67" s="90"/>
      <x:c r="F67" s="92"/>
      <x:c r="G67" s="92"/>
      <x:c r="H67" s="84" t="str">
        <x:f>IF(A67="","",IF(OR(F67="",G67=""),"",MAX(0,G67-F67+1)))</x:f>
      </x:c>
      <x:c r="I67" s="90"/>
      <x:c r="J67" s="90"/>
      <x:c r="K67" s="90"/>
      <x:c r="L67" s="96"/>
      <x:c r="M67" s="86" t="str">
        <x:f>IF(A67="","",IF(L67&lt;&gt;"",MAX(0,MIN(1,L67)),IF(AND(K67&lt;&gt;"",K67&gt;0,J67&lt;&gt;""),MAX(0,MIN(1,J67/K67)),IF(I67="",0,SUMIF('Lists &amp; Setup'!$A$4:$A$8,I67,'Lists &amp; Setup'!$B$4:$B$8)))))</x:f>
      </x:c>
      <x:c r="N67" s="86" t="str">
        <x:f>IF(A67="","",IF(OR(F67="",G67=""),0,IF(TODAY()&lt;F67,0,IF(TODAY()&gt;=G67,1,(TODAY()-F67+1)/MAX(1,G67-F67+1)))))</x:f>
      </x:c>
      <x:c r="O67" s="86" t="str">
        <x:f>IF(A67="","",M67-N67)</x:f>
      </x:c>
      <x:c r="P67" s="98"/>
      <x:c r="Q67" s="91"/>
      <x:c r="R67" s="88" t="str">
        <x:f>IF(A67="","",IF(M67&gt;=1,"Complete",IF(I67="Blocked","Blocked",IF(G67="","No Due Date",IF(G67&lt;TODAY(),"Overdue",IF(M67+0.1&lt;N67,"At Risk",IF(G67-TODAY()&lt;=7,"Due Soon","On Track")))))))</x:f>
      </x:c>
      <x:c r="S67" s="91"/>
    </x:row>
    <x:row r="68">
      <x:c r="A68" s="90"/>
      <x:c r="B68" s="90"/>
      <x:c r="C68" s="91"/>
      <x:c r="D68" s="90"/>
      <x:c r="E68" s="90"/>
      <x:c r="F68" s="92"/>
      <x:c r="G68" s="92"/>
      <x:c r="H68" s="84" t="str">
        <x:f>IF(A68="","",IF(OR(F68="",G68=""),"",MAX(0,G68-F68+1)))</x:f>
      </x:c>
      <x:c r="I68" s="90"/>
      <x:c r="J68" s="90"/>
      <x:c r="K68" s="90"/>
      <x:c r="L68" s="96"/>
      <x:c r="M68" s="86" t="str">
        <x:f>IF(A68="","",IF(L68&lt;&gt;"",MAX(0,MIN(1,L68)),IF(AND(K68&lt;&gt;"",K68&gt;0,J68&lt;&gt;""),MAX(0,MIN(1,J68/K68)),IF(I68="",0,SUMIF('Lists &amp; Setup'!$A$4:$A$8,I68,'Lists &amp; Setup'!$B$4:$B$8)))))</x:f>
      </x:c>
      <x:c r="N68" s="86" t="str">
        <x:f>IF(A68="","",IF(OR(F68="",G68=""),0,IF(TODAY()&lt;F68,0,IF(TODAY()&gt;=G68,1,(TODAY()-F68+1)/MAX(1,G68-F68+1)))))</x:f>
      </x:c>
      <x:c r="O68" s="86" t="str">
        <x:f>IF(A68="","",M68-N68)</x:f>
      </x:c>
      <x:c r="P68" s="98"/>
      <x:c r="Q68" s="91"/>
      <x:c r="R68" s="88" t="str">
        <x:f>IF(A68="","",IF(M68&gt;=1,"Complete",IF(I68="Blocked","Blocked",IF(G68="","No Due Date",IF(G68&lt;TODAY(),"Overdue",IF(M68+0.1&lt;N68,"At Risk",IF(G68-TODAY()&lt;=7,"Due Soon","On Track")))))))</x:f>
      </x:c>
      <x:c r="S68" s="91"/>
    </x:row>
    <x:row r="69">
      <x:c r="A69" s="90"/>
      <x:c r="B69" s="90"/>
      <x:c r="C69" s="91"/>
      <x:c r="D69" s="90"/>
      <x:c r="E69" s="90"/>
      <x:c r="F69" s="92"/>
      <x:c r="G69" s="92"/>
      <x:c r="H69" s="84" t="str">
        <x:f>IF(A69="","",IF(OR(F69="",G69=""),"",MAX(0,G69-F69+1)))</x:f>
      </x:c>
      <x:c r="I69" s="90"/>
      <x:c r="J69" s="90"/>
      <x:c r="K69" s="90"/>
      <x:c r="L69" s="96"/>
      <x:c r="M69" s="86" t="str">
        <x:f>IF(A69="","",IF(L69&lt;&gt;"",MAX(0,MIN(1,L69)),IF(AND(K69&lt;&gt;"",K69&gt;0,J69&lt;&gt;""),MAX(0,MIN(1,J69/K69)),IF(I69="",0,SUMIF('Lists &amp; Setup'!$A$4:$A$8,I69,'Lists &amp; Setup'!$B$4:$B$8)))))</x:f>
      </x:c>
      <x:c r="N69" s="86" t="str">
        <x:f>IF(A69="","",IF(OR(F69="",G69=""),0,IF(TODAY()&lt;F69,0,IF(TODAY()&gt;=G69,1,(TODAY()-F69+1)/MAX(1,G69-F69+1)))))</x:f>
      </x:c>
      <x:c r="O69" s="86" t="str">
        <x:f>IF(A69="","",M69-N69)</x:f>
      </x:c>
      <x:c r="P69" s="98"/>
      <x:c r="Q69" s="91"/>
      <x:c r="R69" s="88" t="str">
        <x:f>IF(A69="","",IF(M69&gt;=1,"Complete",IF(I69="Blocked","Blocked",IF(G69="","No Due Date",IF(G69&lt;TODAY(),"Overdue",IF(M69+0.1&lt;N69,"At Risk",IF(G69-TODAY()&lt;=7,"Due Soon","On Track")))))))</x:f>
      </x:c>
      <x:c r="S69" s="91"/>
    </x:row>
    <x:row r="70">
      <x:c r="A70" s="90"/>
      <x:c r="B70" s="90"/>
      <x:c r="C70" s="91"/>
      <x:c r="D70" s="90"/>
      <x:c r="E70" s="90"/>
      <x:c r="F70" s="92"/>
      <x:c r="G70" s="92"/>
      <x:c r="H70" s="84" t="str">
        <x:f>IF(A70="","",IF(OR(F70="",G70=""),"",MAX(0,G70-F70+1)))</x:f>
      </x:c>
      <x:c r="I70" s="90"/>
      <x:c r="J70" s="90"/>
      <x:c r="K70" s="90"/>
      <x:c r="L70" s="96"/>
      <x:c r="M70" s="86" t="str">
        <x:f>IF(A70="","",IF(L70&lt;&gt;"",MAX(0,MIN(1,L70)),IF(AND(K70&lt;&gt;"",K70&gt;0,J70&lt;&gt;""),MAX(0,MIN(1,J70/K70)),IF(I70="",0,SUMIF('Lists &amp; Setup'!$A$4:$A$8,I70,'Lists &amp; Setup'!$B$4:$B$8)))))</x:f>
      </x:c>
      <x:c r="N70" s="86" t="str">
        <x:f>IF(A70="","",IF(OR(F70="",G70=""),0,IF(TODAY()&lt;F70,0,IF(TODAY()&gt;=G70,1,(TODAY()-F70+1)/MAX(1,G70-F70+1)))))</x:f>
      </x:c>
      <x:c r="O70" s="86" t="str">
        <x:f>IF(A70="","",M70-N70)</x:f>
      </x:c>
      <x:c r="P70" s="98"/>
      <x:c r="Q70" s="91"/>
      <x:c r="R70" s="88" t="str">
        <x:f>IF(A70="","",IF(M70&gt;=1,"Complete",IF(I70="Blocked","Blocked",IF(G70="","No Due Date",IF(G70&lt;TODAY(),"Overdue",IF(M70+0.1&lt;N70,"At Risk",IF(G70-TODAY()&lt;=7,"Due Soon","On Track")))))))</x:f>
      </x:c>
      <x:c r="S70" s="91"/>
    </x:row>
    <x:row r="71">
      <x:c r="A71" s="90"/>
      <x:c r="B71" s="90"/>
      <x:c r="C71" s="91"/>
      <x:c r="D71" s="90"/>
      <x:c r="E71" s="90"/>
      <x:c r="F71" s="92"/>
      <x:c r="G71" s="92"/>
      <x:c r="H71" s="84" t="str">
        <x:f>IF(A71="","",IF(OR(F71="",G71=""),"",MAX(0,G71-F71+1)))</x:f>
      </x:c>
      <x:c r="I71" s="90"/>
      <x:c r="J71" s="90"/>
      <x:c r="K71" s="90"/>
      <x:c r="L71" s="96"/>
      <x:c r="M71" s="86" t="str">
        <x:f>IF(A71="","",IF(L71&lt;&gt;"",MAX(0,MIN(1,L71)),IF(AND(K71&lt;&gt;"",K71&gt;0,J71&lt;&gt;""),MAX(0,MIN(1,J71/K71)),IF(I71="",0,SUMIF('Lists &amp; Setup'!$A$4:$A$8,I71,'Lists &amp; Setup'!$B$4:$B$8)))))</x:f>
      </x:c>
      <x:c r="N71" s="86" t="str">
        <x:f>IF(A71="","",IF(OR(F71="",G71=""),0,IF(TODAY()&lt;F71,0,IF(TODAY()&gt;=G71,1,(TODAY()-F71+1)/MAX(1,G71-F71+1)))))</x:f>
      </x:c>
      <x:c r="O71" s="86" t="str">
        <x:f>IF(A71="","",M71-N71)</x:f>
      </x:c>
      <x:c r="P71" s="98"/>
      <x:c r="Q71" s="91"/>
      <x:c r="R71" s="88" t="str">
        <x:f>IF(A71="","",IF(M71&gt;=1,"Complete",IF(I71="Blocked","Blocked",IF(G71="","No Due Date",IF(G71&lt;TODAY(),"Overdue",IF(M71+0.1&lt;N71,"At Risk",IF(G71-TODAY()&lt;=7,"Due Soon","On Track")))))))</x:f>
      </x:c>
      <x:c r="S71" s="91"/>
    </x:row>
    <x:row r="72">
      <x:c r="A72" s="90"/>
      <x:c r="B72" s="90"/>
      <x:c r="C72" s="91"/>
      <x:c r="D72" s="90"/>
      <x:c r="E72" s="90"/>
      <x:c r="F72" s="92"/>
      <x:c r="G72" s="92"/>
      <x:c r="H72" s="84" t="str">
        <x:f>IF(A72="","",IF(OR(F72="",G72=""),"",MAX(0,G72-F72+1)))</x:f>
      </x:c>
      <x:c r="I72" s="90"/>
      <x:c r="J72" s="90"/>
      <x:c r="K72" s="90"/>
      <x:c r="L72" s="96"/>
      <x:c r="M72" s="86" t="str">
        <x:f>IF(A72="","",IF(L72&lt;&gt;"",MAX(0,MIN(1,L72)),IF(AND(K72&lt;&gt;"",K72&gt;0,J72&lt;&gt;""),MAX(0,MIN(1,J72/K72)),IF(I72="",0,SUMIF('Lists &amp; Setup'!$A$4:$A$8,I72,'Lists &amp; Setup'!$B$4:$B$8)))))</x:f>
      </x:c>
      <x:c r="N72" s="86" t="str">
        <x:f>IF(A72="","",IF(OR(F72="",G72=""),0,IF(TODAY()&lt;F72,0,IF(TODAY()&gt;=G72,1,(TODAY()-F72+1)/MAX(1,G72-F72+1)))))</x:f>
      </x:c>
      <x:c r="O72" s="86" t="str">
        <x:f>IF(A72="","",M72-N72)</x:f>
      </x:c>
      <x:c r="P72" s="98"/>
      <x:c r="Q72" s="91"/>
      <x:c r="R72" s="88" t="str">
        <x:f>IF(A72="","",IF(M72&gt;=1,"Complete",IF(I72="Blocked","Blocked",IF(G72="","No Due Date",IF(G72&lt;TODAY(),"Overdue",IF(M72+0.1&lt;N72,"At Risk",IF(G72-TODAY()&lt;=7,"Due Soon","On Track")))))))</x:f>
      </x:c>
      <x:c r="S72" s="91"/>
    </x:row>
    <x:row r="73">
      <x:c r="A73" s="90"/>
      <x:c r="B73" s="90"/>
      <x:c r="C73" s="91"/>
      <x:c r="D73" s="90"/>
      <x:c r="E73" s="90"/>
      <x:c r="F73" s="92"/>
      <x:c r="G73" s="92"/>
      <x:c r="H73" s="84" t="str">
        <x:f>IF(A73="","",IF(OR(F73="",G73=""),"",MAX(0,G73-F73+1)))</x:f>
      </x:c>
      <x:c r="I73" s="90"/>
      <x:c r="J73" s="90"/>
      <x:c r="K73" s="90"/>
      <x:c r="L73" s="96"/>
      <x:c r="M73" s="86" t="str">
        <x:f>IF(A73="","",IF(L73&lt;&gt;"",MAX(0,MIN(1,L73)),IF(AND(K73&lt;&gt;"",K73&gt;0,J73&lt;&gt;""),MAX(0,MIN(1,J73/K73)),IF(I73="",0,SUMIF('Lists &amp; Setup'!$A$4:$A$8,I73,'Lists &amp; Setup'!$B$4:$B$8)))))</x:f>
      </x:c>
      <x:c r="N73" s="86" t="str">
        <x:f>IF(A73="","",IF(OR(F73="",G73=""),0,IF(TODAY()&lt;F73,0,IF(TODAY()&gt;=G73,1,(TODAY()-F73+1)/MAX(1,G73-F73+1)))))</x:f>
      </x:c>
      <x:c r="O73" s="86" t="str">
        <x:f>IF(A73="","",M73-N73)</x:f>
      </x:c>
      <x:c r="P73" s="98"/>
      <x:c r="Q73" s="91"/>
      <x:c r="R73" s="88" t="str">
        <x:f>IF(A73="","",IF(M73&gt;=1,"Complete",IF(I73="Blocked","Blocked",IF(G73="","No Due Date",IF(G73&lt;TODAY(),"Overdue",IF(M73+0.1&lt;N73,"At Risk",IF(G73-TODAY()&lt;=7,"Due Soon","On Track")))))))</x:f>
      </x:c>
      <x:c r="S73" s="91"/>
    </x:row>
    <x:row r="74">
      <x:c r="A74" s="90"/>
      <x:c r="B74" s="90"/>
      <x:c r="C74" s="91"/>
      <x:c r="D74" s="90"/>
      <x:c r="E74" s="90"/>
      <x:c r="F74" s="92"/>
      <x:c r="G74" s="92"/>
      <x:c r="H74" s="84" t="str">
        <x:f>IF(A74="","",IF(OR(F74="",G74=""),"",MAX(0,G74-F74+1)))</x:f>
      </x:c>
      <x:c r="I74" s="90"/>
      <x:c r="J74" s="90"/>
      <x:c r="K74" s="90"/>
      <x:c r="L74" s="96"/>
      <x:c r="M74" s="86" t="str">
        <x:f>IF(A74="","",IF(L74&lt;&gt;"",MAX(0,MIN(1,L74)),IF(AND(K74&lt;&gt;"",K74&gt;0,J74&lt;&gt;""),MAX(0,MIN(1,J74/K74)),IF(I74="",0,SUMIF('Lists &amp; Setup'!$A$4:$A$8,I74,'Lists &amp; Setup'!$B$4:$B$8)))))</x:f>
      </x:c>
      <x:c r="N74" s="86" t="str">
        <x:f>IF(A74="","",IF(OR(F74="",G74=""),0,IF(TODAY()&lt;F74,0,IF(TODAY()&gt;=G74,1,(TODAY()-F74+1)/MAX(1,G74-F74+1)))))</x:f>
      </x:c>
      <x:c r="O74" s="86" t="str">
        <x:f>IF(A74="","",M74-N74)</x:f>
      </x:c>
      <x:c r="P74" s="98"/>
      <x:c r="Q74" s="91"/>
      <x:c r="R74" s="88" t="str">
        <x:f>IF(A74="","",IF(M74&gt;=1,"Complete",IF(I74="Blocked","Blocked",IF(G74="","No Due Date",IF(G74&lt;TODAY(),"Overdue",IF(M74+0.1&lt;N74,"At Risk",IF(G74-TODAY()&lt;=7,"Due Soon","On Track")))))))</x:f>
      </x:c>
      <x:c r="S74" s="91"/>
    </x:row>
    <x:row r="75">
      <x:c r="A75" s="90"/>
      <x:c r="B75" s="90"/>
      <x:c r="C75" s="91"/>
      <x:c r="D75" s="90"/>
      <x:c r="E75" s="90"/>
      <x:c r="F75" s="92"/>
      <x:c r="G75" s="92"/>
      <x:c r="H75" s="84" t="str">
        <x:f>IF(A75="","",IF(OR(F75="",G75=""),"",MAX(0,G75-F75+1)))</x:f>
      </x:c>
      <x:c r="I75" s="90"/>
      <x:c r="J75" s="90"/>
      <x:c r="K75" s="90"/>
      <x:c r="L75" s="96"/>
      <x:c r="M75" s="86" t="str">
        <x:f>IF(A75="","",IF(L75&lt;&gt;"",MAX(0,MIN(1,L75)),IF(AND(K75&lt;&gt;"",K75&gt;0,J75&lt;&gt;""),MAX(0,MIN(1,J75/K75)),IF(I75="",0,SUMIF('Lists &amp; Setup'!$A$4:$A$8,I75,'Lists &amp; Setup'!$B$4:$B$8)))))</x:f>
      </x:c>
      <x:c r="N75" s="86" t="str">
        <x:f>IF(A75="","",IF(OR(F75="",G75=""),0,IF(TODAY()&lt;F75,0,IF(TODAY()&gt;=G75,1,(TODAY()-F75+1)/MAX(1,G75-F75+1)))))</x:f>
      </x:c>
      <x:c r="O75" s="86" t="str">
        <x:f>IF(A75="","",M75-N75)</x:f>
      </x:c>
      <x:c r="P75" s="98"/>
      <x:c r="Q75" s="91"/>
      <x:c r="R75" s="88" t="str">
        <x:f>IF(A75="","",IF(M75&gt;=1,"Complete",IF(I75="Blocked","Blocked",IF(G75="","No Due Date",IF(G75&lt;TODAY(),"Overdue",IF(M75+0.1&lt;N75,"At Risk",IF(G75-TODAY()&lt;=7,"Due Soon","On Track")))))))</x:f>
      </x:c>
      <x:c r="S75" s="91"/>
    </x:row>
    <x:row r="76">
      <x:c r="A76" s="90"/>
      <x:c r="B76" s="90"/>
      <x:c r="C76" s="91"/>
      <x:c r="D76" s="90"/>
      <x:c r="E76" s="90"/>
      <x:c r="F76" s="92"/>
      <x:c r="G76" s="92"/>
      <x:c r="H76" s="84" t="str">
        <x:f>IF(A76="","",IF(OR(F76="",G76=""),"",MAX(0,G76-F76+1)))</x:f>
      </x:c>
      <x:c r="I76" s="90"/>
      <x:c r="J76" s="90"/>
      <x:c r="K76" s="90"/>
      <x:c r="L76" s="96"/>
      <x:c r="M76" s="86" t="str">
        <x:f>IF(A76="","",IF(L76&lt;&gt;"",MAX(0,MIN(1,L76)),IF(AND(K76&lt;&gt;"",K76&gt;0,J76&lt;&gt;""),MAX(0,MIN(1,J76/K76)),IF(I76="",0,SUMIF('Lists &amp; Setup'!$A$4:$A$8,I76,'Lists &amp; Setup'!$B$4:$B$8)))))</x:f>
      </x:c>
      <x:c r="N76" s="86" t="str">
        <x:f>IF(A76="","",IF(OR(F76="",G76=""),0,IF(TODAY()&lt;F76,0,IF(TODAY()&gt;=G76,1,(TODAY()-F76+1)/MAX(1,G76-F76+1)))))</x:f>
      </x:c>
      <x:c r="O76" s="86" t="str">
        <x:f>IF(A76="","",M76-N76)</x:f>
      </x:c>
      <x:c r="P76" s="98"/>
      <x:c r="Q76" s="91"/>
      <x:c r="R76" s="88" t="str">
        <x:f>IF(A76="","",IF(M76&gt;=1,"Complete",IF(I76="Blocked","Blocked",IF(G76="","No Due Date",IF(G76&lt;TODAY(),"Overdue",IF(M76+0.1&lt;N76,"At Risk",IF(G76-TODAY()&lt;=7,"Due Soon","On Track")))))))</x:f>
      </x:c>
      <x:c r="S76" s="91"/>
    </x:row>
    <x:row r="77">
      <x:c r="A77" s="90"/>
      <x:c r="B77" s="90"/>
      <x:c r="C77" s="91"/>
      <x:c r="D77" s="90"/>
      <x:c r="E77" s="90"/>
      <x:c r="F77" s="92"/>
      <x:c r="G77" s="92"/>
      <x:c r="H77" s="84" t="str">
        <x:f>IF(A77="","",IF(OR(F77="",G77=""),"",MAX(0,G77-F77+1)))</x:f>
      </x:c>
      <x:c r="I77" s="90"/>
      <x:c r="J77" s="90"/>
      <x:c r="K77" s="90"/>
      <x:c r="L77" s="96"/>
      <x:c r="M77" s="86" t="str">
        <x:f>IF(A77="","",IF(L77&lt;&gt;"",MAX(0,MIN(1,L77)),IF(AND(K77&lt;&gt;"",K77&gt;0,J77&lt;&gt;""),MAX(0,MIN(1,J77/K77)),IF(I77="",0,SUMIF('Lists &amp; Setup'!$A$4:$A$8,I77,'Lists &amp; Setup'!$B$4:$B$8)))))</x:f>
      </x:c>
      <x:c r="N77" s="86" t="str">
        <x:f>IF(A77="","",IF(OR(F77="",G77=""),0,IF(TODAY()&lt;F77,0,IF(TODAY()&gt;=G77,1,(TODAY()-F77+1)/MAX(1,G77-F77+1)))))</x:f>
      </x:c>
      <x:c r="O77" s="86" t="str">
        <x:f>IF(A77="","",M77-N77)</x:f>
      </x:c>
      <x:c r="P77" s="98"/>
      <x:c r="Q77" s="91"/>
      <x:c r="R77" s="88" t="str">
        <x:f>IF(A77="","",IF(M77&gt;=1,"Complete",IF(I77="Blocked","Blocked",IF(G77="","No Due Date",IF(G77&lt;TODAY(),"Overdue",IF(M77+0.1&lt;N77,"At Risk",IF(G77-TODAY()&lt;=7,"Due Soon","On Track")))))))</x:f>
      </x:c>
      <x:c r="S77" s="91"/>
    </x:row>
    <x:row r="78">
      <x:c r="A78" s="90"/>
      <x:c r="B78" s="90"/>
      <x:c r="C78" s="91"/>
      <x:c r="D78" s="90"/>
      <x:c r="E78" s="90"/>
      <x:c r="F78" s="92"/>
      <x:c r="G78" s="92"/>
      <x:c r="H78" s="84" t="str">
        <x:f>IF(A78="","",IF(OR(F78="",G78=""),"",MAX(0,G78-F78+1)))</x:f>
      </x:c>
      <x:c r="I78" s="90"/>
      <x:c r="J78" s="90"/>
      <x:c r="K78" s="90"/>
      <x:c r="L78" s="96"/>
      <x:c r="M78" s="86" t="str">
        <x:f>IF(A78="","",IF(L78&lt;&gt;"",MAX(0,MIN(1,L78)),IF(AND(K78&lt;&gt;"",K78&gt;0,J78&lt;&gt;""),MAX(0,MIN(1,J78/K78)),IF(I78="",0,SUMIF('Lists &amp; Setup'!$A$4:$A$8,I78,'Lists &amp; Setup'!$B$4:$B$8)))))</x:f>
      </x:c>
      <x:c r="N78" s="86" t="str">
        <x:f>IF(A78="","",IF(OR(F78="",G78=""),0,IF(TODAY()&lt;F78,0,IF(TODAY()&gt;=G78,1,(TODAY()-F78+1)/MAX(1,G78-F78+1)))))</x:f>
      </x:c>
      <x:c r="O78" s="86" t="str">
        <x:f>IF(A78="","",M78-N78)</x:f>
      </x:c>
      <x:c r="P78" s="98"/>
      <x:c r="Q78" s="91"/>
      <x:c r="R78" s="88" t="str">
        <x:f>IF(A78="","",IF(M78&gt;=1,"Complete",IF(I78="Blocked","Blocked",IF(G78="","No Due Date",IF(G78&lt;TODAY(),"Overdue",IF(M78+0.1&lt;N78,"At Risk",IF(G78-TODAY()&lt;=7,"Due Soon","On Track")))))))</x:f>
      </x:c>
      <x:c r="S78" s="91"/>
    </x:row>
    <x:row r="79">
      <x:c r="A79" s="90"/>
      <x:c r="B79" s="90"/>
      <x:c r="C79" s="91"/>
      <x:c r="D79" s="90"/>
      <x:c r="E79" s="90"/>
      <x:c r="F79" s="92"/>
      <x:c r="G79" s="92"/>
      <x:c r="H79" s="84" t="str">
        <x:f>IF(A79="","",IF(OR(F79="",G79=""),"",MAX(0,G79-F79+1)))</x:f>
      </x:c>
      <x:c r="I79" s="90"/>
      <x:c r="J79" s="90"/>
      <x:c r="K79" s="90"/>
      <x:c r="L79" s="96"/>
      <x:c r="M79" s="86" t="str">
        <x:f>IF(A79="","",IF(L79&lt;&gt;"",MAX(0,MIN(1,L79)),IF(AND(K79&lt;&gt;"",K79&gt;0,J79&lt;&gt;""),MAX(0,MIN(1,J79/K79)),IF(I79="",0,SUMIF('Lists &amp; Setup'!$A$4:$A$8,I79,'Lists &amp; Setup'!$B$4:$B$8)))))</x:f>
      </x:c>
      <x:c r="N79" s="86" t="str">
        <x:f>IF(A79="","",IF(OR(F79="",G79=""),0,IF(TODAY()&lt;F79,0,IF(TODAY()&gt;=G79,1,(TODAY()-F79+1)/MAX(1,G79-F79+1)))))</x:f>
      </x:c>
      <x:c r="O79" s="86" t="str">
        <x:f>IF(A79="","",M79-N79)</x:f>
      </x:c>
      <x:c r="P79" s="98"/>
      <x:c r="Q79" s="91"/>
      <x:c r="R79" s="88" t="str">
        <x:f>IF(A79="","",IF(M79&gt;=1,"Complete",IF(I79="Blocked","Blocked",IF(G79="","No Due Date",IF(G79&lt;TODAY(),"Overdue",IF(M79+0.1&lt;N79,"At Risk",IF(G79-TODAY()&lt;=7,"Due Soon","On Track")))))))</x:f>
      </x:c>
      <x:c r="S79" s="91"/>
    </x:row>
    <x:row r="80">
      <x:c r="A80" s="90"/>
      <x:c r="B80" s="90"/>
      <x:c r="C80" s="91"/>
      <x:c r="D80" s="90"/>
      <x:c r="E80" s="90"/>
      <x:c r="F80" s="92"/>
      <x:c r="G80" s="92"/>
      <x:c r="H80" s="84" t="str">
        <x:f>IF(A80="","",IF(OR(F80="",G80=""),"",MAX(0,G80-F80+1)))</x:f>
      </x:c>
      <x:c r="I80" s="90"/>
      <x:c r="J80" s="90"/>
      <x:c r="K80" s="90"/>
      <x:c r="L80" s="96"/>
      <x:c r="M80" s="86" t="str">
        <x:f>IF(A80="","",IF(L80&lt;&gt;"",MAX(0,MIN(1,L80)),IF(AND(K80&lt;&gt;"",K80&gt;0,J80&lt;&gt;""),MAX(0,MIN(1,J80/K80)),IF(I80="",0,SUMIF('Lists &amp; Setup'!$A$4:$A$8,I80,'Lists &amp; Setup'!$B$4:$B$8)))))</x:f>
      </x:c>
      <x:c r="N80" s="86" t="str">
        <x:f>IF(A80="","",IF(OR(F80="",G80=""),0,IF(TODAY()&lt;F80,0,IF(TODAY()&gt;=G80,1,(TODAY()-F80+1)/MAX(1,G80-F80+1)))))</x:f>
      </x:c>
      <x:c r="O80" s="86" t="str">
        <x:f>IF(A80="","",M80-N80)</x:f>
      </x:c>
      <x:c r="P80" s="98"/>
      <x:c r="Q80" s="91"/>
      <x:c r="R80" s="88" t="str">
        <x:f>IF(A80="","",IF(M80&gt;=1,"Complete",IF(I80="Blocked","Blocked",IF(G80="","No Due Date",IF(G80&lt;TODAY(),"Overdue",IF(M80+0.1&lt;N80,"At Risk",IF(G80-TODAY()&lt;=7,"Due Soon","On Track")))))))</x:f>
      </x:c>
      <x:c r="S80" s="91"/>
    </x:row>
    <x:row r="81">
      <x:c r="A81" s="90"/>
      <x:c r="B81" s="90"/>
      <x:c r="C81" s="91"/>
      <x:c r="D81" s="90"/>
      <x:c r="E81" s="90"/>
      <x:c r="F81" s="92"/>
      <x:c r="G81" s="92"/>
      <x:c r="H81" s="84" t="str">
        <x:f>IF(A81="","",IF(OR(F81="",G81=""),"",MAX(0,G81-F81+1)))</x:f>
      </x:c>
      <x:c r="I81" s="90"/>
      <x:c r="J81" s="90"/>
      <x:c r="K81" s="90"/>
      <x:c r="L81" s="96"/>
      <x:c r="M81" s="86" t="str">
        <x:f>IF(A81="","",IF(L81&lt;&gt;"",MAX(0,MIN(1,L81)),IF(AND(K81&lt;&gt;"",K81&gt;0,J81&lt;&gt;""),MAX(0,MIN(1,J81/K81)),IF(I81="",0,SUMIF('Lists &amp; Setup'!$A$4:$A$8,I81,'Lists &amp; Setup'!$B$4:$B$8)))))</x:f>
      </x:c>
      <x:c r="N81" s="86" t="str">
        <x:f>IF(A81="","",IF(OR(F81="",G81=""),0,IF(TODAY()&lt;F81,0,IF(TODAY()&gt;=G81,1,(TODAY()-F81+1)/MAX(1,G81-F81+1)))))</x:f>
      </x:c>
      <x:c r="O81" s="86" t="str">
        <x:f>IF(A81="","",M81-N81)</x:f>
      </x:c>
      <x:c r="P81" s="98"/>
      <x:c r="Q81" s="91"/>
      <x:c r="R81" s="88" t="str">
        <x:f>IF(A81="","",IF(M81&gt;=1,"Complete",IF(I81="Blocked","Blocked",IF(G81="","No Due Date",IF(G81&lt;TODAY(),"Overdue",IF(M81+0.1&lt;N81,"At Risk",IF(G81-TODAY()&lt;=7,"Due Soon","On Track")))))))</x:f>
      </x:c>
      <x:c r="S81" s="91"/>
    </x:row>
    <x:row r="82">
      <x:c r="A82" s="90"/>
      <x:c r="B82" s="90"/>
      <x:c r="C82" s="91"/>
      <x:c r="D82" s="90"/>
      <x:c r="E82" s="90"/>
      <x:c r="F82" s="92"/>
      <x:c r="G82" s="92"/>
      <x:c r="H82" s="84" t="str">
        <x:f>IF(A82="","",IF(OR(F82="",G82=""),"",MAX(0,G82-F82+1)))</x:f>
      </x:c>
      <x:c r="I82" s="90"/>
      <x:c r="J82" s="90"/>
      <x:c r="K82" s="90"/>
      <x:c r="L82" s="96"/>
      <x:c r="M82" s="86" t="str">
        <x:f>IF(A82="","",IF(L82&lt;&gt;"",MAX(0,MIN(1,L82)),IF(AND(K82&lt;&gt;"",K82&gt;0,J82&lt;&gt;""),MAX(0,MIN(1,J82/K82)),IF(I82="",0,SUMIF('Lists &amp; Setup'!$A$4:$A$8,I82,'Lists &amp; Setup'!$B$4:$B$8)))))</x:f>
      </x:c>
      <x:c r="N82" s="86" t="str">
        <x:f>IF(A82="","",IF(OR(F82="",G82=""),0,IF(TODAY()&lt;F82,0,IF(TODAY()&gt;=G82,1,(TODAY()-F82+1)/MAX(1,G82-F82+1)))))</x:f>
      </x:c>
      <x:c r="O82" s="86" t="str">
        <x:f>IF(A82="","",M82-N82)</x:f>
      </x:c>
      <x:c r="P82" s="98"/>
      <x:c r="Q82" s="91"/>
      <x:c r="R82" s="88" t="str">
        <x:f>IF(A82="","",IF(M82&gt;=1,"Complete",IF(I82="Blocked","Blocked",IF(G82="","No Due Date",IF(G82&lt;TODAY(),"Overdue",IF(M82+0.1&lt;N82,"At Risk",IF(G82-TODAY()&lt;=7,"Due Soon","On Track")))))))</x:f>
      </x:c>
      <x:c r="S82" s="91"/>
    </x:row>
    <x:row r="83">
      <x:c r="A83" s="90"/>
      <x:c r="B83" s="90"/>
      <x:c r="C83" s="91"/>
      <x:c r="D83" s="90"/>
      <x:c r="E83" s="90"/>
      <x:c r="F83" s="92"/>
      <x:c r="G83" s="92"/>
      <x:c r="H83" s="84" t="str">
        <x:f>IF(A83="","",IF(OR(F83="",G83=""),"",MAX(0,G83-F83+1)))</x:f>
      </x:c>
      <x:c r="I83" s="90"/>
      <x:c r="J83" s="90"/>
      <x:c r="K83" s="90"/>
      <x:c r="L83" s="96"/>
      <x:c r="M83" s="86" t="str">
        <x:f>IF(A83="","",IF(L83&lt;&gt;"",MAX(0,MIN(1,L83)),IF(AND(K83&lt;&gt;"",K83&gt;0,J83&lt;&gt;""),MAX(0,MIN(1,J83/K83)),IF(I83="",0,SUMIF('Lists &amp; Setup'!$A$4:$A$8,I83,'Lists &amp; Setup'!$B$4:$B$8)))))</x:f>
      </x:c>
      <x:c r="N83" s="86" t="str">
        <x:f>IF(A83="","",IF(OR(F83="",G83=""),0,IF(TODAY()&lt;F83,0,IF(TODAY()&gt;=G83,1,(TODAY()-F83+1)/MAX(1,G83-F83+1)))))</x:f>
      </x:c>
      <x:c r="O83" s="86" t="str">
        <x:f>IF(A83="","",M83-N83)</x:f>
      </x:c>
      <x:c r="P83" s="98"/>
      <x:c r="Q83" s="91"/>
      <x:c r="R83" s="88" t="str">
        <x:f>IF(A83="","",IF(M83&gt;=1,"Complete",IF(I83="Blocked","Blocked",IF(G83="","No Due Date",IF(G83&lt;TODAY(),"Overdue",IF(M83+0.1&lt;N83,"At Risk",IF(G83-TODAY()&lt;=7,"Due Soon","On Track")))))))</x:f>
      </x:c>
      <x:c r="S83" s="91"/>
    </x:row>
    <x:row r="84">
      <x:c r="A84" s="90"/>
      <x:c r="B84" s="90"/>
      <x:c r="C84" s="91"/>
      <x:c r="D84" s="90"/>
      <x:c r="E84" s="90"/>
      <x:c r="F84" s="92"/>
      <x:c r="G84" s="92"/>
      <x:c r="H84" s="84" t="str">
        <x:f>IF(A84="","",IF(OR(F84="",G84=""),"",MAX(0,G84-F84+1)))</x:f>
      </x:c>
      <x:c r="I84" s="90"/>
      <x:c r="J84" s="90"/>
      <x:c r="K84" s="90"/>
      <x:c r="L84" s="96"/>
      <x:c r="M84" s="86" t="str">
        <x:f>IF(A84="","",IF(L84&lt;&gt;"",MAX(0,MIN(1,L84)),IF(AND(K84&lt;&gt;"",K84&gt;0,J84&lt;&gt;""),MAX(0,MIN(1,J84/K84)),IF(I84="",0,SUMIF('Lists &amp; Setup'!$A$4:$A$8,I84,'Lists &amp; Setup'!$B$4:$B$8)))))</x:f>
      </x:c>
      <x:c r="N84" s="86" t="str">
        <x:f>IF(A84="","",IF(OR(F84="",G84=""),0,IF(TODAY()&lt;F84,0,IF(TODAY()&gt;=G84,1,(TODAY()-F84+1)/MAX(1,G84-F84+1)))))</x:f>
      </x:c>
      <x:c r="O84" s="86" t="str">
        <x:f>IF(A84="","",M84-N84)</x:f>
      </x:c>
      <x:c r="P84" s="98"/>
      <x:c r="Q84" s="91"/>
      <x:c r="R84" s="88" t="str">
        <x:f>IF(A84="","",IF(M84&gt;=1,"Complete",IF(I84="Blocked","Blocked",IF(G84="","No Due Date",IF(G84&lt;TODAY(),"Overdue",IF(M84+0.1&lt;N84,"At Risk",IF(G84-TODAY()&lt;=7,"Due Soon","On Track")))))))</x:f>
      </x:c>
      <x:c r="S84" s="91"/>
    </x:row>
    <x:row r="85">
      <x:c r="A85" s="90"/>
      <x:c r="B85" s="90"/>
      <x:c r="C85" s="91"/>
      <x:c r="D85" s="90"/>
      <x:c r="E85" s="90"/>
      <x:c r="F85" s="92"/>
      <x:c r="G85" s="92"/>
      <x:c r="H85" s="84" t="str">
        <x:f>IF(A85="","",IF(OR(F85="",G85=""),"",MAX(0,G85-F85+1)))</x:f>
      </x:c>
      <x:c r="I85" s="90"/>
      <x:c r="J85" s="90"/>
      <x:c r="K85" s="90"/>
      <x:c r="L85" s="96"/>
      <x:c r="M85" s="86" t="str">
        <x:f>IF(A85="","",IF(L85&lt;&gt;"",MAX(0,MIN(1,L85)),IF(AND(K85&lt;&gt;"",K85&gt;0,J85&lt;&gt;""),MAX(0,MIN(1,J85/K85)),IF(I85="",0,SUMIF('Lists &amp; Setup'!$A$4:$A$8,I85,'Lists &amp; Setup'!$B$4:$B$8)))))</x:f>
      </x:c>
      <x:c r="N85" s="86" t="str">
        <x:f>IF(A85="","",IF(OR(F85="",G85=""),0,IF(TODAY()&lt;F85,0,IF(TODAY()&gt;=G85,1,(TODAY()-F85+1)/MAX(1,G85-F85+1)))))</x:f>
      </x:c>
      <x:c r="O85" s="86" t="str">
        <x:f>IF(A85="","",M85-N85)</x:f>
      </x:c>
      <x:c r="P85" s="98"/>
      <x:c r="Q85" s="91"/>
      <x:c r="R85" s="88" t="str">
        <x:f>IF(A85="","",IF(M85&gt;=1,"Complete",IF(I85="Blocked","Blocked",IF(G85="","No Due Date",IF(G85&lt;TODAY(),"Overdue",IF(M85+0.1&lt;N85,"At Risk",IF(G85-TODAY()&lt;=7,"Due Soon","On Track")))))))</x:f>
      </x:c>
      <x:c r="S85" s="91"/>
    </x:row>
    <x:row r="86">
      <x:c r="A86" s="90"/>
      <x:c r="B86" s="90"/>
      <x:c r="C86" s="91"/>
      <x:c r="D86" s="90"/>
      <x:c r="E86" s="90"/>
      <x:c r="F86" s="92"/>
      <x:c r="G86" s="92"/>
      <x:c r="H86" s="84" t="str">
        <x:f>IF(A86="","",IF(OR(F86="",G86=""),"",MAX(0,G86-F86+1)))</x:f>
      </x:c>
      <x:c r="I86" s="90"/>
      <x:c r="J86" s="90"/>
      <x:c r="K86" s="90"/>
      <x:c r="L86" s="96"/>
      <x:c r="M86" s="86" t="str">
        <x:f>IF(A86="","",IF(L86&lt;&gt;"",MAX(0,MIN(1,L86)),IF(AND(K86&lt;&gt;"",K86&gt;0,J86&lt;&gt;""),MAX(0,MIN(1,J86/K86)),IF(I86="",0,SUMIF('Lists &amp; Setup'!$A$4:$A$8,I86,'Lists &amp; Setup'!$B$4:$B$8)))))</x:f>
      </x:c>
      <x:c r="N86" s="86" t="str">
        <x:f>IF(A86="","",IF(OR(F86="",G86=""),0,IF(TODAY()&lt;F86,0,IF(TODAY()&gt;=G86,1,(TODAY()-F86+1)/MAX(1,G86-F86+1)))))</x:f>
      </x:c>
      <x:c r="O86" s="86" t="str">
        <x:f>IF(A86="","",M86-N86)</x:f>
      </x:c>
      <x:c r="P86" s="98"/>
      <x:c r="Q86" s="91"/>
      <x:c r="R86" s="88" t="str">
        <x:f>IF(A86="","",IF(M86&gt;=1,"Complete",IF(I86="Blocked","Blocked",IF(G86="","No Due Date",IF(G86&lt;TODAY(),"Overdue",IF(M86+0.1&lt;N86,"At Risk",IF(G86-TODAY()&lt;=7,"Due Soon","On Track")))))))</x:f>
      </x:c>
      <x:c r="S86" s="91"/>
    </x:row>
    <x:row r="87">
      <x:c r="A87" s="90"/>
      <x:c r="B87" s="90"/>
      <x:c r="C87" s="91"/>
      <x:c r="D87" s="90"/>
      <x:c r="E87" s="90"/>
      <x:c r="F87" s="92"/>
      <x:c r="G87" s="92"/>
      <x:c r="H87" s="84" t="str">
        <x:f>IF(A87="","",IF(OR(F87="",G87=""),"",MAX(0,G87-F87+1)))</x:f>
      </x:c>
      <x:c r="I87" s="90"/>
      <x:c r="J87" s="90"/>
      <x:c r="K87" s="90"/>
      <x:c r="L87" s="96"/>
      <x:c r="M87" s="86" t="str">
        <x:f>IF(A87="","",IF(L87&lt;&gt;"",MAX(0,MIN(1,L87)),IF(AND(K87&lt;&gt;"",K87&gt;0,J87&lt;&gt;""),MAX(0,MIN(1,J87/K87)),IF(I87="",0,SUMIF('Lists &amp; Setup'!$A$4:$A$8,I87,'Lists &amp; Setup'!$B$4:$B$8)))))</x:f>
      </x:c>
      <x:c r="N87" s="86" t="str">
        <x:f>IF(A87="","",IF(OR(F87="",G87=""),0,IF(TODAY()&lt;F87,0,IF(TODAY()&gt;=G87,1,(TODAY()-F87+1)/MAX(1,G87-F87+1)))))</x:f>
      </x:c>
      <x:c r="O87" s="86" t="str">
        <x:f>IF(A87="","",M87-N87)</x:f>
      </x:c>
      <x:c r="P87" s="98"/>
      <x:c r="Q87" s="91"/>
      <x:c r="R87" s="88" t="str">
        <x:f>IF(A87="","",IF(M87&gt;=1,"Complete",IF(I87="Blocked","Blocked",IF(G87="","No Due Date",IF(G87&lt;TODAY(),"Overdue",IF(M87+0.1&lt;N87,"At Risk",IF(G87-TODAY()&lt;=7,"Due Soon","On Track")))))))</x:f>
      </x:c>
      <x:c r="S87" s="91"/>
    </x:row>
    <x:row r="88">
      <x:c r="A88" s="90"/>
      <x:c r="B88" s="90"/>
      <x:c r="C88" s="91"/>
      <x:c r="D88" s="90"/>
      <x:c r="E88" s="90"/>
      <x:c r="F88" s="92"/>
      <x:c r="G88" s="92"/>
      <x:c r="H88" s="84" t="str">
        <x:f>IF(A88="","",IF(OR(F88="",G88=""),"",MAX(0,G88-F88+1)))</x:f>
      </x:c>
      <x:c r="I88" s="90"/>
      <x:c r="J88" s="90"/>
      <x:c r="K88" s="90"/>
      <x:c r="L88" s="96"/>
      <x:c r="M88" s="86" t="str">
        <x:f>IF(A88="","",IF(L88&lt;&gt;"",MAX(0,MIN(1,L88)),IF(AND(K88&lt;&gt;"",K88&gt;0,J88&lt;&gt;""),MAX(0,MIN(1,J88/K88)),IF(I88="",0,SUMIF('Lists &amp; Setup'!$A$4:$A$8,I88,'Lists &amp; Setup'!$B$4:$B$8)))))</x:f>
      </x:c>
      <x:c r="N88" s="86" t="str">
        <x:f>IF(A88="","",IF(OR(F88="",G88=""),0,IF(TODAY()&lt;F88,0,IF(TODAY()&gt;=G88,1,(TODAY()-F88+1)/MAX(1,G88-F88+1)))))</x:f>
      </x:c>
      <x:c r="O88" s="86" t="str">
        <x:f>IF(A88="","",M88-N88)</x:f>
      </x:c>
      <x:c r="P88" s="98"/>
      <x:c r="Q88" s="91"/>
      <x:c r="R88" s="88" t="str">
        <x:f>IF(A88="","",IF(M88&gt;=1,"Complete",IF(I88="Blocked","Blocked",IF(G88="","No Due Date",IF(G88&lt;TODAY(),"Overdue",IF(M88+0.1&lt;N88,"At Risk",IF(G88-TODAY()&lt;=7,"Due Soon","On Track")))))))</x:f>
      </x:c>
      <x:c r="S88" s="91"/>
    </x:row>
    <x:row r="89">
      <x:c r="A89" s="90"/>
      <x:c r="B89" s="90"/>
      <x:c r="C89" s="91"/>
      <x:c r="D89" s="90"/>
      <x:c r="E89" s="90"/>
      <x:c r="F89" s="92"/>
      <x:c r="G89" s="92"/>
      <x:c r="H89" s="84" t="str">
        <x:f>IF(A89="","",IF(OR(F89="",G89=""),"",MAX(0,G89-F89+1)))</x:f>
      </x:c>
      <x:c r="I89" s="90"/>
      <x:c r="J89" s="90"/>
      <x:c r="K89" s="90"/>
      <x:c r="L89" s="96"/>
      <x:c r="M89" s="86" t="str">
        <x:f>IF(A89="","",IF(L89&lt;&gt;"",MAX(0,MIN(1,L89)),IF(AND(K89&lt;&gt;"",K89&gt;0,J89&lt;&gt;""),MAX(0,MIN(1,J89/K89)),IF(I89="",0,SUMIF('Lists &amp; Setup'!$A$4:$A$8,I89,'Lists &amp; Setup'!$B$4:$B$8)))))</x:f>
      </x:c>
      <x:c r="N89" s="86" t="str">
        <x:f>IF(A89="","",IF(OR(F89="",G89=""),0,IF(TODAY()&lt;F89,0,IF(TODAY()&gt;=G89,1,(TODAY()-F89+1)/MAX(1,G89-F89+1)))))</x:f>
      </x:c>
      <x:c r="O89" s="86" t="str">
        <x:f>IF(A89="","",M89-N89)</x:f>
      </x:c>
      <x:c r="P89" s="98"/>
      <x:c r="Q89" s="91"/>
      <x:c r="R89" s="88" t="str">
        <x:f>IF(A89="","",IF(M89&gt;=1,"Complete",IF(I89="Blocked","Blocked",IF(G89="","No Due Date",IF(G89&lt;TODAY(),"Overdue",IF(M89+0.1&lt;N89,"At Risk",IF(G89-TODAY()&lt;=7,"Due Soon","On Track")))))))</x:f>
      </x:c>
      <x:c r="S89" s="91"/>
    </x:row>
    <x:row r="90">
      <x:c r="A90" s="90"/>
      <x:c r="B90" s="90"/>
      <x:c r="C90" s="91"/>
      <x:c r="D90" s="90"/>
      <x:c r="E90" s="90"/>
      <x:c r="F90" s="92"/>
      <x:c r="G90" s="92"/>
      <x:c r="H90" s="84" t="str">
        <x:f>IF(A90="","",IF(OR(F90="",G90=""),"",MAX(0,G90-F90+1)))</x:f>
      </x:c>
      <x:c r="I90" s="90"/>
      <x:c r="J90" s="90"/>
      <x:c r="K90" s="90"/>
      <x:c r="L90" s="96"/>
      <x:c r="M90" s="86" t="str">
        <x:f>IF(A90="","",IF(L90&lt;&gt;"",MAX(0,MIN(1,L90)),IF(AND(K90&lt;&gt;"",K90&gt;0,J90&lt;&gt;""),MAX(0,MIN(1,J90/K90)),IF(I90="",0,SUMIF('Lists &amp; Setup'!$A$4:$A$8,I90,'Lists &amp; Setup'!$B$4:$B$8)))))</x:f>
      </x:c>
      <x:c r="N90" s="86" t="str">
        <x:f>IF(A90="","",IF(OR(F90="",G90=""),0,IF(TODAY()&lt;F90,0,IF(TODAY()&gt;=G90,1,(TODAY()-F90+1)/MAX(1,G90-F90+1)))))</x:f>
      </x:c>
      <x:c r="O90" s="86" t="str">
        <x:f>IF(A90="","",M90-N90)</x:f>
      </x:c>
      <x:c r="P90" s="98"/>
      <x:c r="Q90" s="91"/>
      <x:c r="R90" s="88" t="str">
        <x:f>IF(A90="","",IF(M90&gt;=1,"Complete",IF(I90="Blocked","Blocked",IF(G90="","No Due Date",IF(G90&lt;TODAY(),"Overdue",IF(M90+0.1&lt;N90,"At Risk",IF(G90-TODAY()&lt;=7,"Due Soon","On Track")))))))</x:f>
      </x:c>
      <x:c r="S90" s="91"/>
    </x:row>
    <x:row r="91">
      <x:c r="A91" s="90"/>
      <x:c r="B91" s="90"/>
      <x:c r="C91" s="91"/>
      <x:c r="D91" s="90"/>
      <x:c r="E91" s="90"/>
      <x:c r="F91" s="92"/>
      <x:c r="G91" s="92"/>
      <x:c r="H91" s="84" t="str">
        <x:f>IF(A91="","",IF(OR(F91="",G91=""),"",MAX(0,G91-F91+1)))</x:f>
      </x:c>
      <x:c r="I91" s="90"/>
      <x:c r="J91" s="90"/>
      <x:c r="K91" s="90"/>
      <x:c r="L91" s="96"/>
      <x:c r="M91" s="86" t="str">
        <x:f>IF(A91="","",IF(L91&lt;&gt;"",MAX(0,MIN(1,L91)),IF(AND(K91&lt;&gt;"",K91&gt;0,J91&lt;&gt;""),MAX(0,MIN(1,J91/K91)),IF(I91="",0,SUMIF('Lists &amp; Setup'!$A$4:$A$8,I91,'Lists &amp; Setup'!$B$4:$B$8)))))</x:f>
      </x:c>
      <x:c r="N91" s="86" t="str">
        <x:f>IF(A91="","",IF(OR(F91="",G91=""),0,IF(TODAY()&lt;F91,0,IF(TODAY()&gt;=G91,1,(TODAY()-F91+1)/MAX(1,G91-F91+1)))))</x:f>
      </x:c>
      <x:c r="O91" s="86" t="str">
        <x:f>IF(A91="","",M91-N91)</x:f>
      </x:c>
      <x:c r="P91" s="98"/>
      <x:c r="Q91" s="91"/>
      <x:c r="R91" s="88" t="str">
        <x:f>IF(A91="","",IF(M91&gt;=1,"Complete",IF(I91="Blocked","Blocked",IF(G91="","No Due Date",IF(G91&lt;TODAY(),"Overdue",IF(M91+0.1&lt;N91,"At Risk",IF(G91-TODAY()&lt;=7,"Due Soon","On Track")))))))</x:f>
      </x:c>
      <x:c r="S91" s="91"/>
    </x:row>
    <x:row r="92">
      <x:c r="A92" s="90"/>
      <x:c r="B92" s="90"/>
      <x:c r="C92" s="91"/>
      <x:c r="D92" s="90"/>
      <x:c r="E92" s="90"/>
      <x:c r="F92" s="92"/>
      <x:c r="G92" s="92"/>
      <x:c r="H92" s="84" t="str">
        <x:f>IF(A92="","",IF(OR(F92="",G92=""),"",MAX(0,G92-F92+1)))</x:f>
      </x:c>
      <x:c r="I92" s="90"/>
      <x:c r="J92" s="90"/>
      <x:c r="K92" s="90"/>
      <x:c r="L92" s="96"/>
      <x:c r="M92" s="86" t="str">
        <x:f>IF(A92="","",IF(L92&lt;&gt;"",MAX(0,MIN(1,L92)),IF(AND(K92&lt;&gt;"",K92&gt;0,J92&lt;&gt;""),MAX(0,MIN(1,J92/K92)),IF(I92="",0,SUMIF('Lists &amp; Setup'!$A$4:$A$8,I92,'Lists &amp; Setup'!$B$4:$B$8)))))</x:f>
      </x:c>
      <x:c r="N92" s="86" t="str">
        <x:f>IF(A92="","",IF(OR(F92="",G92=""),0,IF(TODAY()&lt;F92,0,IF(TODAY()&gt;=G92,1,(TODAY()-F92+1)/MAX(1,G92-F92+1)))))</x:f>
      </x:c>
      <x:c r="O92" s="86" t="str">
        <x:f>IF(A92="","",M92-N92)</x:f>
      </x:c>
      <x:c r="P92" s="98"/>
      <x:c r="Q92" s="91"/>
      <x:c r="R92" s="88" t="str">
        <x:f>IF(A92="","",IF(M92&gt;=1,"Complete",IF(I92="Blocked","Blocked",IF(G92="","No Due Date",IF(G92&lt;TODAY(),"Overdue",IF(M92+0.1&lt;N92,"At Risk",IF(G92-TODAY()&lt;=7,"Due Soon","On Track")))))))</x:f>
      </x:c>
      <x:c r="S92" s="91"/>
    </x:row>
    <x:row r="93">
      <x:c r="A93" s="90"/>
      <x:c r="B93" s="90"/>
      <x:c r="C93" s="91"/>
      <x:c r="D93" s="90"/>
      <x:c r="E93" s="90"/>
      <x:c r="F93" s="92"/>
      <x:c r="G93" s="92"/>
      <x:c r="H93" s="84" t="str">
        <x:f>IF(A93="","",IF(OR(F93="",G93=""),"",MAX(0,G93-F93+1)))</x:f>
      </x:c>
      <x:c r="I93" s="90"/>
      <x:c r="J93" s="90"/>
      <x:c r="K93" s="90"/>
      <x:c r="L93" s="96"/>
      <x:c r="M93" s="86" t="str">
        <x:f>IF(A93="","",IF(L93&lt;&gt;"",MAX(0,MIN(1,L93)),IF(AND(K93&lt;&gt;"",K93&gt;0,J93&lt;&gt;""),MAX(0,MIN(1,J93/K93)),IF(I93="",0,SUMIF('Lists &amp; Setup'!$A$4:$A$8,I93,'Lists &amp; Setup'!$B$4:$B$8)))))</x:f>
      </x:c>
      <x:c r="N93" s="86" t="str">
        <x:f>IF(A93="","",IF(OR(F93="",G93=""),0,IF(TODAY()&lt;F93,0,IF(TODAY()&gt;=G93,1,(TODAY()-F93+1)/MAX(1,G93-F93+1)))))</x:f>
      </x:c>
      <x:c r="O93" s="86" t="str">
        <x:f>IF(A93="","",M93-N93)</x:f>
      </x:c>
      <x:c r="P93" s="98"/>
      <x:c r="Q93" s="91"/>
      <x:c r="R93" s="88" t="str">
        <x:f>IF(A93="","",IF(M93&gt;=1,"Complete",IF(I93="Blocked","Blocked",IF(G93="","No Due Date",IF(G93&lt;TODAY(),"Overdue",IF(M93+0.1&lt;N93,"At Risk",IF(G93-TODAY()&lt;=7,"Due Soon","On Track")))))))</x:f>
      </x:c>
      <x:c r="S93" s="91"/>
    </x:row>
    <x:row r="94">
      <x:c r="A94" s="90"/>
      <x:c r="B94" s="90"/>
      <x:c r="C94" s="91"/>
      <x:c r="D94" s="90"/>
      <x:c r="E94" s="90"/>
      <x:c r="F94" s="92"/>
      <x:c r="G94" s="92"/>
      <x:c r="H94" s="84" t="str">
        <x:f>IF(A94="","",IF(OR(F94="",G94=""),"",MAX(0,G94-F94+1)))</x:f>
      </x:c>
      <x:c r="I94" s="90"/>
      <x:c r="J94" s="90"/>
      <x:c r="K94" s="90"/>
      <x:c r="L94" s="96"/>
      <x:c r="M94" s="86" t="str">
        <x:f>IF(A94="","",IF(L94&lt;&gt;"",MAX(0,MIN(1,L94)),IF(AND(K94&lt;&gt;"",K94&gt;0,J94&lt;&gt;""),MAX(0,MIN(1,J94/K94)),IF(I94="",0,SUMIF('Lists &amp; Setup'!$A$4:$A$8,I94,'Lists &amp; Setup'!$B$4:$B$8)))))</x:f>
      </x:c>
      <x:c r="N94" s="86" t="str">
        <x:f>IF(A94="","",IF(OR(F94="",G94=""),0,IF(TODAY()&lt;F94,0,IF(TODAY()&gt;=G94,1,(TODAY()-F94+1)/MAX(1,G94-F94+1)))))</x:f>
      </x:c>
      <x:c r="O94" s="86" t="str">
        <x:f>IF(A94="","",M94-N94)</x:f>
      </x:c>
      <x:c r="P94" s="98"/>
      <x:c r="Q94" s="91"/>
      <x:c r="R94" s="88" t="str">
        <x:f>IF(A94="","",IF(M94&gt;=1,"Complete",IF(I94="Blocked","Blocked",IF(G94="","No Due Date",IF(G94&lt;TODAY(),"Overdue",IF(M94+0.1&lt;N94,"At Risk",IF(G94-TODAY()&lt;=7,"Due Soon","On Track")))))))</x:f>
      </x:c>
      <x:c r="S94" s="91"/>
    </x:row>
    <x:row r="95">
      <x:c r="A95" s="90"/>
      <x:c r="B95" s="90"/>
      <x:c r="C95" s="91"/>
      <x:c r="D95" s="90"/>
      <x:c r="E95" s="90"/>
      <x:c r="F95" s="92"/>
      <x:c r="G95" s="92"/>
      <x:c r="H95" s="84" t="str">
        <x:f>IF(A95="","",IF(OR(F95="",G95=""),"",MAX(0,G95-F95+1)))</x:f>
      </x:c>
      <x:c r="I95" s="90"/>
      <x:c r="J95" s="90"/>
      <x:c r="K95" s="90"/>
      <x:c r="L95" s="96"/>
      <x:c r="M95" s="86" t="str">
        <x:f>IF(A95="","",IF(L95&lt;&gt;"",MAX(0,MIN(1,L95)),IF(AND(K95&lt;&gt;"",K95&gt;0,J95&lt;&gt;""),MAX(0,MIN(1,J95/K95)),IF(I95="",0,SUMIF('Lists &amp; Setup'!$A$4:$A$8,I95,'Lists &amp; Setup'!$B$4:$B$8)))))</x:f>
      </x:c>
      <x:c r="N95" s="86" t="str">
        <x:f>IF(A95="","",IF(OR(F95="",G95=""),0,IF(TODAY()&lt;F95,0,IF(TODAY()&gt;=G95,1,(TODAY()-F95+1)/MAX(1,G95-F95+1)))))</x:f>
      </x:c>
      <x:c r="O95" s="86" t="str">
        <x:f>IF(A95="","",M95-N95)</x:f>
      </x:c>
      <x:c r="P95" s="98"/>
      <x:c r="Q95" s="91"/>
      <x:c r="R95" s="88" t="str">
        <x:f>IF(A95="","",IF(M95&gt;=1,"Complete",IF(I95="Blocked","Blocked",IF(G95="","No Due Date",IF(G95&lt;TODAY(),"Overdue",IF(M95+0.1&lt;N95,"At Risk",IF(G95-TODAY()&lt;=7,"Due Soon","On Track")))))))</x:f>
      </x:c>
      <x:c r="S95" s="91"/>
    </x:row>
    <x:row r="96">
      <x:c r="A96" s="90"/>
      <x:c r="B96" s="90"/>
      <x:c r="C96" s="91"/>
      <x:c r="D96" s="90"/>
      <x:c r="E96" s="90"/>
      <x:c r="F96" s="92"/>
      <x:c r="G96" s="92"/>
      <x:c r="H96" s="84" t="str">
        <x:f>IF(A96="","",IF(OR(F96="",G96=""),"",MAX(0,G96-F96+1)))</x:f>
      </x:c>
      <x:c r="I96" s="90"/>
      <x:c r="J96" s="90"/>
      <x:c r="K96" s="90"/>
      <x:c r="L96" s="96"/>
      <x:c r="M96" s="86" t="str">
        <x:f>IF(A96="","",IF(L96&lt;&gt;"",MAX(0,MIN(1,L96)),IF(AND(K96&lt;&gt;"",K96&gt;0,J96&lt;&gt;""),MAX(0,MIN(1,J96/K96)),IF(I96="",0,SUMIF('Lists &amp; Setup'!$A$4:$A$8,I96,'Lists &amp; Setup'!$B$4:$B$8)))))</x:f>
      </x:c>
      <x:c r="N96" s="86" t="str">
        <x:f>IF(A96="","",IF(OR(F96="",G96=""),0,IF(TODAY()&lt;F96,0,IF(TODAY()&gt;=G96,1,(TODAY()-F96+1)/MAX(1,G96-F96+1)))))</x:f>
      </x:c>
      <x:c r="O96" s="86" t="str">
        <x:f>IF(A96="","",M96-N96)</x:f>
      </x:c>
      <x:c r="P96" s="98"/>
      <x:c r="Q96" s="91"/>
      <x:c r="R96" s="88" t="str">
        <x:f>IF(A96="","",IF(M96&gt;=1,"Complete",IF(I96="Blocked","Blocked",IF(G96="","No Due Date",IF(G96&lt;TODAY(),"Overdue",IF(M96+0.1&lt;N96,"At Risk",IF(G96-TODAY()&lt;=7,"Due Soon","On Track")))))))</x:f>
      </x:c>
      <x:c r="S96" s="91"/>
    </x:row>
    <x:row r="97">
      <x:c r="A97" s="90"/>
      <x:c r="B97" s="90"/>
      <x:c r="C97" s="91"/>
      <x:c r="D97" s="90"/>
      <x:c r="E97" s="90"/>
      <x:c r="F97" s="92"/>
      <x:c r="G97" s="92"/>
      <x:c r="H97" s="84" t="str">
        <x:f>IF(A97="","",IF(OR(F97="",G97=""),"",MAX(0,G97-F97+1)))</x:f>
      </x:c>
      <x:c r="I97" s="90"/>
      <x:c r="J97" s="90"/>
      <x:c r="K97" s="90"/>
      <x:c r="L97" s="96"/>
      <x:c r="M97" s="86" t="str">
        <x:f>IF(A97="","",IF(L97&lt;&gt;"",MAX(0,MIN(1,L97)),IF(AND(K97&lt;&gt;"",K97&gt;0,J97&lt;&gt;""),MAX(0,MIN(1,J97/K97)),IF(I97="",0,SUMIF('Lists &amp; Setup'!$A$4:$A$8,I97,'Lists &amp; Setup'!$B$4:$B$8)))))</x:f>
      </x:c>
      <x:c r="N97" s="86" t="str">
        <x:f>IF(A97="","",IF(OR(F97="",G97=""),0,IF(TODAY()&lt;F97,0,IF(TODAY()&gt;=G97,1,(TODAY()-F97+1)/MAX(1,G97-F97+1)))))</x:f>
      </x:c>
      <x:c r="O97" s="86" t="str">
        <x:f>IF(A97="","",M97-N97)</x:f>
      </x:c>
      <x:c r="P97" s="98"/>
      <x:c r="Q97" s="91"/>
      <x:c r="R97" s="88" t="str">
        <x:f>IF(A97="","",IF(M97&gt;=1,"Complete",IF(I97="Blocked","Blocked",IF(G97="","No Due Date",IF(G97&lt;TODAY(),"Overdue",IF(M97+0.1&lt;N97,"At Risk",IF(G97-TODAY()&lt;=7,"Due Soon","On Track")))))))</x:f>
      </x:c>
      <x:c r="S97" s="91"/>
    </x:row>
    <x:row r="98">
      <x:c r="A98" s="90"/>
      <x:c r="B98" s="90"/>
      <x:c r="C98" s="91"/>
      <x:c r="D98" s="90"/>
      <x:c r="E98" s="90"/>
      <x:c r="F98" s="92"/>
      <x:c r="G98" s="92"/>
      <x:c r="H98" s="84" t="str">
        <x:f>IF(A98="","",IF(OR(F98="",G98=""),"",MAX(0,G98-F98+1)))</x:f>
      </x:c>
      <x:c r="I98" s="90"/>
      <x:c r="J98" s="90"/>
      <x:c r="K98" s="90"/>
      <x:c r="L98" s="96"/>
      <x:c r="M98" s="86" t="str">
        <x:f>IF(A98="","",IF(L98&lt;&gt;"",MAX(0,MIN(1,L98)),IF(AND(K98&lt;&gt;"",K98&gt;0,J98&lt;&gt;""),MAX(0,MIN(1,J98/K98)),IF(I98="",0,SUMIF('Lists &amp; Setup'!$A$4:$A$8,I98,'Lists &amp; Setup'!$B$4:$B$8)))))</x:f>
      </x:c>
      <x:c r="N98" s="86" t="str">
        <x:f>IF(A98="","",IF(OR(F98="",G98=""),0,IF(TODAY()&lt;F98,0,IF(TODAY()&gt;=G98,1,(TODAY()-F98+1)/MAX(1,G98-F98+1)))))</x:f>
      </x:c>
      <x:c r="O98" s="86" t="str">
        <x:f>IF(A98="","",M98-N98)</x:f>
      </x:c>
      <x:c r="P98" s="98"/>
      <x:c r="Q98" s="91"/>
      <x:c r="R98" s="88" t="str">
        <x:f>IF(A98="","",IF(M98&gt;=1,"Complete",IF(I98="Blocked","Blocked",IF(G98="","No Due Date",IF(G98&lt;TODAY(),"Overdue",IF(M98+0.1&lt;N98,"At Risk",IF(G98-TODAY()&lt;=7,"Due Soon","On Track")))))))</x:f>
      </x:c>
      <x:c r="S98" s="91"/>
    </x:row>
    <x:row r="99">
      <x:c r="A99" s="90"/>
      <x:c r="B99" s="90"/>
      <x:c r="C99" s="91"/>
      <x:c r="D99" s="90"/>
      <x:c r="E99" s="90"/>
      <x:c r="F99" s="92"/>
      <x:c r="G99" s="92"/>
      <x:c r="H99" s="84" t="str">
        <x:f>IF(A99="","",IF(OR(F99="",G99=""),"",MAX(0,G99-F99+1)))</x:f>
      </x:c>
      <x:c r="I99" s="90"/>
      <x:c r="J99" s="90"/>
      <x:c r="K99" s="90"/>
      <x:c r="L99" s="96"/>
      <x:c r="M99" s="86" t="str">
        <x:f>IF(A99="","",IF(L99&lt;&gt;"",MAX(0,MIN(1,L99)),IF(AND(K99&lt;&gt;"",K99&gt;0,J99&lt;&gt;""),MAX(0,MIN(1,J99/K99)),IF(I99="",0,SUMIF('Lists &amp; Setup'!$A$4:$A$8,I99,'Lists &amp; Setup'!$B$4:$B$8)))))</x:f>
      </x:c>
      <x:c r="N99" s="86" t="str">
        <x:f>IF(A99="","",IF(OR(F99="",G99=""),0,IF(TODAY()&lt;F99,0,IF(TODAY()&gt;=G99,1,(TODAY()-F99+1)/MAX(1,G99-F99+1)))))</x:f>
      </x:c>
      <x:c r="O99" s="86" t="str">
        <x:f>IF(A99="","",M99-N99)</x:f>
      </x:c>
      <x:c r="P99" s="98"/>
      <x:c r="Q99" s="91"/>
      <x:c r="R99" s="88" t="str">
        <x:f>IF(A99="","",IF(M99&gt;=1,"Complete",IF(I99="Blocked","Blocked",IF(G99="","No Due Date",IF(G99&lt;TODAY(),"Overdue",IF(M99+0.1&lt;N99,"At Risk",IF(G99-TODAY()&lt;=7,"Due Soon","On Track")))))))</x:f>
      </x:c>
      <x:c r="S99" s="91"/>
    </x:row>
    <x:row r="100">
      <x:c r="A100" s="90"/>
      <x:c r="B100" s="90"/>
      <x:c r="C100" s="91"/>
      <x:c r="D100" s="90"/>
      <x:c r="E100" s="90"/>
      <x:c r="F100" s="92"/>
      <x:c r="G100" s="92"/>
      <x:c r="H100" s="84" t="str">
        <x:f>IF(A100="","",IF(OR(F100="",G100=""),"",MAX(0,G100-F100+1)))</x:f>
      </x:c>
      <x:c r="I100" s="90"/>
      <x:c r="J100" s="90"/>
      <x:c r="K100" s="90"/>
      <x:c r="L100" s="96"/>
      <x:c r="M100" s="86" t="str">
        <x:f>IF(A100="","",IF(L100&lt;&gt;"",MAX(0,MIN(1,L100)),IF(AND(K100&lt;&gt;"",K100&gt;0,J100&lt;&gt;""),MAX(0,MIN(1,J100/K100)),IF(I100="",0,SUMIF('Lists &amp; Setup'!$A$4:$A$8,I100,'Lists &amp; Setup'!$B$4:$B$8)))))</x:f>
      </x:c>
      <x:c r="N100" s="86" t="str">
        <x:f>IF(A100="","",IF(OR(F100="",G100=""),0,IF(TODAY()&lt;F100,0,IF(TODAY()&gt;=G100,1,(TODAY()-F100+1)/MAX(1,G100-F100+1)))))</x:f>
      </x:c>
      <x:c r="O100" s="86" t="str">
        <x:f>IF(A100="","",M100-N100)</x:f>
      </x:c>
      <x:c r="P100" s="98"/>
      <x:c r="Q100" s="91"/>
      <x:c r="R100" s="88" t="str">
        <x:f>IF(A100="","",IF(M100&gt;=1,"Complete",IF(I100="Blocked","Blocked",IF(G100="","No Due Date",IF(G100&lt;TODAY(),"Overdue",IF(M100+0.1&lt;N100,"At Risk",IF(G100-TODAY()&lt;=7,"Due Soon","On Track")))))))</x:f>
      </x:c>
      <x:c r="S100" s="91"/>
    </x:row>
    <x:row r="101">
      <x:c r="A101" s="90"/>
      <x:c r="B101" s="90"/>
      <x:c r="C101" s="91"/>
      <x:c r="D101" s="90"/>
      <x:c r="E101" s="90"/>
      <x:c r="F101" s="92"/>
      <x:c r="G101" s="92"/>
      <x:c r="H101" s="84" t="str">
        <x:f>IF(A101="","",IF(OR(F101="",G101=""),"",MAX(0,G101-F101+1)))</x:f>
      </x:c>
      <x:c r="I101" s="90"/>
      <x:c r="J101" s="90"/>
      <x:c r="K101" s="90"/>
      <x:c r="L101" s="96"/>
      <x:c r="M101" s="86" t="str">
        <x:f>IF(A101="","",IF(L101&lt;&gt;"",MAX(0,MIN(1,L101)),IF(AND(K101&lt;&gt;"",K101&gt;0,J101&lt;&gt;""),MAX(0,MIN(1,J101/K101)),IF(I101="",0,SUMIF('Lists &amp; Setup'!$A$4:$A$8,I101,'Lists &amp; Setup'!$B$4:$B$8)))))</x:f>
      </x:c>
      <x:c r="N101" s="86" t="str">
        <x:f>IF(A101="","",IF(OR(F101="",G101=""),0,IF(TODAY()&lt;F101,0,IF(TODAY()&gt;=G101,1,(TODAY()-F101+1)/MAX(1,G101-F101+1)))))</x:f>
      </x:c>
      <x:c r="O101" s="86" t="str">
        <x:f>IF(A101="","",M101-N101)</x:f>
      </x:c>
      <x:c r="P101" s="98"/>
      <x:c r="Q101" s="91"/>
      <x:c r="R101" s="88" t="str">
        <x:f>IF(A101="","",IF(M101&gt;=1,"Complete",IF(I101="Blocked","Blocked",IF(G101="","No Due Date",IF(G101&lt;TODAY(),"Overdue",IF(M101+0.1&lt;N101,"At Risk",IF(G101-TODAY()&lt;=7,"Due Soon","On Track")))))))</x:f>
      </x:c>
      <x:c r="S101" s="91"/>
    </x:row>
    <x:row r="102">
      <x:c r="A102" s="90"/>
      <x:c r="B102" s="90"/>
      <x:c r="C102" s="91"/>
      <x:c r="D102" s="90"/>
      <x:c r="E102" s="90"/>
      <x:c r="F102" s="92"/>
      <x:c r="G102" s="92"/>
      <x:c r="H102" s="84" t="str">
        <x:f>IF(A102="","",IF(OR(F102="",G102=""),"",MAX(0,G102-F102+1)))</x:f>
      </x:c>
      <x:c r="I102" s="90"/>
      <x:c r="J102" s="90"/>
      <x:c r="K102" s="90"/>
      <x:c r="L102" s="96"/>
      <x:c r="M102" s="86" t="str">
        <x:f>IF(A102="","",IF(L102&lt;&gt;"",MAX(0,MIN(1,L102)),IF(AND(K102&lt;&gt;"",K102&gt;0,J102&lt;&gt;""),MAX(0,MIN(1,J102/K102)),IF(I102="",0,SUMIF('Lists &amp; Setup'!$A$4:$A$8,I102,'Lists &amp; Setup'!$B$4:$B$8)))))</x:f>
      </x:c>
      <x:c r="N102" s="86" t="str">
        <x:f>IF(A102="","",IF(OR(F102="",G102=""),0,IF(TODAY()&lt;F102,0,IF(TODAY()&gt;=G102,1,(TODAY()-F102+1)/MAX(1,G102-F102+1)))))</x:f>
      </x:c>
      <x:c r="O102" s="86" t="str">
        <x:f>IF(A102="","",M102-N102)</x:f>
      </x:c>
      <x:c r="P102" s="98"/>
      <x:c r="Q102" s="91"/>
      <x:c r="R102" s="88" t="str">
        <x:f>IF(A102="","",IF(M102&gt;=1,"Complete",IF(I102="Blocked","Blocked",IF(G102="","No Due Date",IF(G102&lt;TODAY(),"Overdue",IF(M102+0.1&lt;N102,"At Risk",IF(G102-TODAY()&lt;=7,"Due Soon","On Track")))))))</x:f>
      </x:c>
      <x:c r="S102" s="91"/>
    </x:row>
    <x:row r="103">
      <x:c r="A103" s="90"/>
      <x:c r="B103" s="90"/>
      <x:c r="C103" s="91"/>
      <x:c r="D103" s="90"/>
      <x:c r="E103" s="90"/>
      <x:c r="F103" s="92"/>
      <x:c r="G103" s="92"/>
      <x:c r="H103" s="84" t="str">
        <x:f>IF(A103="","",IF(OR(F103="",G103=""),"",MAX(0,G103-F103+1)))</x:f>
      </x:c>
      <x:c r="I103" s="90"/>
      <x:c r="J103" s="90"/>
      <x:c r="K103" s="90"/>
      <x:c r="L103" s="96"/>
      <x:c r="M103" s="86" t="str">
        <x:f>IF(A103="","",IF(L103&lt;&gt;"",MAX(0,MIN(1,L103)),IF(AND(K103&lt;&gt;"",K103&gt;0,J103&lt;&gt;""),MAX(0,MIN(1,J103/K103)),IF(I103="",0,SUMIF('Lists &amp; Setup'!$A$4:$A$8,I103,'Lists &amp; Setup'!$B$4:$B$8)))))</x:f>
      </x:c>
      <x:c r="N103" s="86" t="str">
        <x:f>IF(A103="","",IF(OR(F103="",G103=""),0,IF(TODAY()&lt;F103,0,IF(TODAY()&gt;=G103,1,(TODAY()-F103+1)/MAX(1,G103-F103+1)))))</x:f>
      </x:c>
      <x:c r="O103" s="86" t="str">
        <x:f>IF(A103="","",M103-N103)</x:f>
      </x:c>
      <x:c r="P103" s="98"/>
      <x:c r="Q103" s="91"/>
      <x:c r="R103" s="88" t="str">
        <x:f>IF(A103="","",IF(M103&gt;=1,"Complete",IF(I103="Blocked","Blocked",IF(G103="","No Due Date",IF(G103&lt;TODAY(),"Overdue",IF(M103+0.1&lt;N103,"At Risk",IF(G103-TODAY()&lt;=7,"Due Soon","On Track")))))))</x:f>
      </x:c>
      <x:c r="S103" s="91"/>
    </x:row>
    <x:row r="104">
      <x:c r="A104" s="90"/>
      <x:c r="B104" s="90"/>
      <x:c r="C104" s="91"/>
      <x:c r="D104" s="90"/>
      <x:c r="E104" s="90"/>
      <x:c r="F104" s="92"/>
      <x:c r="G104" s="92"/>
      <x:c r="H104" s="84" t="str">
        <x:f>IF(A104="","",IF(OR(F104="",G104=""),"",MAX(0,G104-F104+1)))</x:f>
      </x:c>
      <x:c r="I104" s="90"/>
      <x:c r="J104" s="90"/>
      <x:c r="K104" s="90"/>
      <x:c r="L104" s="96"/>
      <x:c r="M104" s="86" t="str">
        <x:f>IF(A104="","",IF(L104&lt;&gt;"",MAX(0,MIN(1,L104)),IF(AND(K104&lt;&gt;"",K104&gt;0,J104&lt;&gt;""),MAX(0,MIN(1,J104/K104)),IF(I104="",0,SUMIF('Lists &amp; Setup'!$A$4:$A$8,I104,'Lists &amp; Setup'!$B$4:$B$8)))))</x:f>
      </x:c>
      <x:c r="N104" s="86" t="str">
        <x:f>IF(A104="","",IF(OR(F104="",G104=""),0,IF(TODAY()&lt;F104,0,IF(TODAY()&gt;=G104,1,(TODAY()-F104+1)/MAX(1,G104-F104+1)))))</x:f>
      </x:c>
      <x:c r="O104" s="86" t="str">
        <x:f>IF(A104="","",M104-N104)</x:f>
      </x:c>
      <x:c r="P104" s="98"/>
      <x:c r="Q104" s="91"/>
      <x:c r="R104" s="88" t="str">
        <x:f>IF(A104="","",IF(M104&gt;=1,"Complete",IF(I104="Blocked","Blocked",IF(G104="","No Due Date",IF(G104&lt;TODAY(),"Overdue",IF(M104+0.1&lt;N104,"At Risk",IF(G104-TODAY()&lt;=7,"Due Soon","On Track")))))))</x:f>
      </x:c>
      <x:c r="S104" s="91"/>
    </x:row>
    <x:row r="105">
      <x:c r="A105" s="90"/>
      <x:c r="B105" s="90"/>
      <x:c r="C105" s="91"/>
      <x:c r="D105" s="90"/>
      <x:c r="E105" s="90"/>
      <x:c r="F105" s="92"/>
      <x:c r="G105" s="92"/>
      <x:c r="H105" s="84" t="str">
        <x:f>IF(A105="","",IF(OR(F105="",G105=""),"",MAX(0,G105-F105+1)))</x:f>
      </x:c>
      <x:c r="I105" s="90"/>
      <x:c r="J105" s="90"/>
      <x:c r="K105" s="90"/>
      <x:c r="L105" s="96"/>
      <x:c r="M105" s="86" t="str">
        <x:f>IF(A105="","",IF(L105&lt;&gt;"",MAX(0,MIN(1,L105)),IF(AND(K105&lt;&gt;"",K105&gt;0,J105&lt;&gt;""),MAX(0,MIN(1,J105/K105)),IF(I105="",0,SUMIF('Lists &amp; Setup'!$A$4:$A$8,I105,'Lists &amp; Setup'!$B$4:$B$8)))))</x:f>
      </x:c>
      <x:c r="N105" s="86" t="str">
        <x:f>IF(A105="","",IF(OR(F105="",G105=""),0,IF(TODAY()&lt;F105,0,IF(TODAY()&gt;=G105,1,(TODAY()-F105+1)/MAX(1,G105-F105+1)))))</x:f>
      </x:c>
      <x:c r="O105" s="86" t="str">
        <x:f>IF(A105="","",M105-N105)</x:f>
      </x:c>
      <x:c r="P105" s="98"/>
      <x:c r="Q105" s="91"/>
      <x:c r="R105" s="88" t="str">
        <x:f>IF(A105="","",IF(M105&gt;=1,"Complete",IF(I105="Blocked","Blocked",IF(G105="","No Due Date",IF(G105&lt;TODAY(),"Overdue",IF(M105+0.1&lt;N105,"At Risk",IF(G105-TODAY()&lt;=7,"Due Soon","On Track")))))))</x:f>
      </x:c>
      <x:c r="S105" s="91"/>
    </x:row>
    <x:row r="106">
      <x:c r="A106" s="90"/>
      <x:c r="B106" s="90"/>
      <x:c r="C106" s="91"/>
      <x:c r="D106" s="90"/>
      <x:c r="E106" s="90"/>
      <x:c r="F106" s="92"/>
      <x:c r="G106" s="92"/>
      <x:c r="H106" s="84" t="str">
        <x:f>IF(A106="","",IF(OR(F106="",G106=""),"",MAX(0,G106-F106+1)))</x:f>
      </x:c>
      <x:c r="I106" s="90"/>
      <x:c r="J106" s="90"/>
      <x:c r="K106" s="90"/>
      <x:c r="L106" s="96"/>
      <x:c r="M106" s="86" t="str">
        <x:f>IF(A106="","",IF(L106&lt;&gt;"",MAX(0,MIN(1,L106)),IF(AND(K106&lt;&gt;"",K106&gt;0,J106&lt;&gt;""),MAX(0,MIN(1,J106/K106)),IF(I106="",0,SUMIF('Lists &amp; Setup'!$A$4:$A$8,I106,'Lists &amp; Setup'!$B$4:$B$8)))))</x:f>
      </x:c>
      <x:c r="N106" s="86" t="str">
        <x:f>IF(A106="","",IF(OR(F106="",G106=""),0,IF(TODAY()&lt;F106,0,IF(TODAY()&gt;=G106,1,(TODAY()-F106+1)/MAX(1,G106-F106+1)))))</x:f>
      </x:c>
      <x:c r="O106" s="86" t="str">
        <x:f>IF(A106="","",M106-N106)</x:f>
      </x:c>
      <x:c r="P106" s="98"/>
      <x:c r="Q106" s="91"/>
      <x:c r="R106" s="88" t="str">
        <x:f>IF(A106="","",IF(M106&gt;=1,"Complete",IF(I106="Blocked","Blocked",IF(G106="","No Due Date",IF(G106&lt;TODAY(),"Overdue",IF(M106+0.1&lt;N106,"At Risk",IF(G106-TODAY()&lt;=7,"Due Soon","On Track")))))))</x:f>
      </x:c>
      <x:c r="S106" s="91"/>
    </x:row>
    <x:row r="107">
      <x:c r="A107" s="90"/>
      <x:c r="B107" s="90"/>
      <x:c r="C107" s="91"/>
      <x:c r="D107" s="90"/>
      <x:c r="E107" s="90"/>
      <x:c r="F107" s="92"/>
      <x:c r="G107" s="92"/>
      <x:c r="H107" s="84" t="str">
        <x:f>IF(A107="","",IF(OR(F107="",G107=""),"",MAX(0,G107-F107+1)))</x:f>
      </x:c>
      <x:c r="I107" s="90"/>
      <x:c r="J107" s="90"/>
      <x:c r="K107" s="90"/>
      <x:c r="L107" s="96"/>
      <x:c r="M107" s="86" t="str">
        <x:f>IF(A107="","",IF(L107&lt;&gt;"",MAX(0,MIN(1,L107)),IF(AND(K107&lt;&gt;"",K107&gt;0,J107&lt;&gt;""),MAX(0,MIN(1,J107/K107)),IF(I107="",0,SUMIF('Lists &amp; Setup'!$A$4:$A$8,I107,'Lists &amp; Setup'!$B$4:$B$8)))))</x:f>
      </x:c>
      <x:c r="N107" s="86" t="str">
        <x:f>IF(A107="","",IF(OR(F107="",G107=""),0,IF(TODAY()&lt;F107,0,IF(TODAY()&gt;=G107,1,(TODAY()-F107+1)/MAX(1,G107-F107+1)))))</x:f>
      </x:c>
      <x:c r="O107" s="86" t="str">
        <x:f>IF(A107="","",M107-N107)</x:f>
      </x:c>
      <x:c r="P107" s="98"/>
      <x:c r="Q107" s="91"/>
      <x:c r="R107" s="88" t="str">
        <x:f>IF(A107="","",IF(M107&gt;=1,"Complete",IF(I107="Blocked","Blocked",IF(G107="","No Due Date",IF(G107&lt;TODAY(),"Overdue",IF(M107+0.1&lt;N107,"At Risk",IF(G107-TODAY()&lt;=7,"Due Soon","On Track")))))))</x:f>
      </x:c>
      <x:c r="S107" s="91"/>
    </x:row>
    <x:row r="108">
      <x:c r="A108" s="90"/>
      <x:c r="B108" s="90"/>
      <x:c r="C108" s="91"/>
      <x:c r="D108" s="90"/>
      <x:c r="E108" s="90"/>
      <x:c r="F108" s="92"/>
      <x:c r="G108" s="92"/>
      <x:c r="H108" s="84" t="str">
        <x:f>IF(A108="","",IF(OR(F108="",G108=""),"",MAX(0,G108-F108+1)))</x:f>
      </x:c>
      <x:c r="I108" s="90"/>
      <x:c r="J108" s="90"/>
      <x:c r="K108" s="90"/>
      <x:c r="L108" s="96"/>
      <x:c r="M108" s="86" t="str">
        <x:f>IF(A108="","",IF(L108&lt;&gt;"",MAX(0,MIN(1,L108)),IF(AND(K108&lt;&gt;"",K108&gt;0,J108&lt;&gt;""),MAX(0,MIN(1,J108/K108)),IF(I108="",0,SUMIF('Lists &amp; Setup'!$A$4:$A$8,I108,'Lists &amp; Setup'!$B$4:$B$8)))))</x:f>
      </x:c>
      <x:c r="N108" s="86" t="str">
        <x:f>IF(A108="","",IF(OR(F108="",G108=""),0,IF(TODAY()&lt;F108,0,IF(TODAY()&gt;=G108,1,(TODAY()-F108+1)/MAX(1,G108-F108+1)))))</x:f>
      </x:c>
      <x:c r="O108" s="86" t="str">
        <x:f>IF(A108="","",M108-N108)</x:f>
      </x:c>
      <x:c r="P108" s="98"/>
      <x:c r="Q108" s="91"/>
      <x:c r="R108" s="88" t="str">
        <x:f>IF(A108="","",IF(M108&gt;=1,"Complete",IF(I108="Blocked","Blocked",IF(G108="","No Due Date",IF(G108&lt;TODAY(),"Overdue",IF(M108+0.1&lt;N108,"At Risk",IF(G108-TODAY()&lt;=7,"Due Soon","On Track")))))))</x:f>
      </x:c>
      <x:c r="S108" s="91"/>
    </x:row>
    <x:row r="109">
      <x:c r="A109" s="90"/>
      <x:c r="B109" s="90"/>
      <x:c r="C109" s="91"/>
      <x:c r="D109" s="90"/>
      <x:c r="E109" s="90"/>
      <x:c r="F109" s="92"/>
      <x:c r="G109" s="92"/>
      <x:c r="H109" s="84" t="str">
        <x:f>IF(A109="","",IF(OR(F109="",G109=""),"",MAX(0,G109-F109+1)))</x:f>
      </x:c>
      <x:c r="I109" s="90"/>
      <x:c r="J109" s="90"/>
      <x:c r="K109" s="90"/>
      <x:c r="L109" s="96"/>
      <x:c r="M109" s="86" t="str">
        <x:f>IF(A109="","",IF(L109&lt;&gt;"",MAX(0,MIN(1,L109)),IF(AND(K109&lt;&gt;"",K109&gt;0,J109&lt;&gt;""),MAX(0,MIN(1,J109/K109)),IF(I109="",0,SUMIF('Lists &amp; Setup'!$A$4:$A$8,I109,'Lists &amp; Setup'!$B$4:$B$8)))))</x:f>
      </x:c>
      <x:c r="N109" s="86" t="str">
        <x:f>IF(A109="","",IF(OR(F109="",G109=""),0,IF(TODAY()&lt;F109,0,IF(TODAY()&gt;=G109,1,(TODAY()-F109+1)/MAX(1,G109-F109+1)))))</x:f>
      </x:c>
      <x:c r="O109" s="86" t="str">
        <x:f>IF(A109="","",M109-N109)</x:f>
      </x:c>
      <x:c r="P109" s="98"/>
      <x:c r="Q109" s="91"/>
      <x:c r="R109" s="88" t="str">
        <x:f>IF(A109="","",IF(M109&gt;=1,"Complete",IF(I109="Blocked","Blocked",IF(G109="","No Due Date",IF(G109&lt;TODAY(),"Overdue",IF(M109+0.1&lt;N109,"At Risk",IF(G109-TODAY()&lt;=7,"Due Soon","On Track")))))))</x:f>
      </x:c>
      <x:c r="S109" s="91"/>
    </x:row>
    <x:row r="110">
      <x:c r="A110" s="90"/>
      <x:c r="B110" s="90"/>
      <x:c r="C110" s="91"/>
      <x:c r="D110" s="90"/>
      <x:c r="E110" s="90"/>
      <x:c r="F110" s="92"/>
      <x:c r="G110" s="92"/>
      <x:c r="H110" s="84" t="str">
        <x:f>IF(A110="","",IF(OR(F110="",G110=""),"",MAX(0,G110-F110+1)))</x:f>
      </x:c>
      <x:c r="I110" s="90"/>
      <x:c r="J110" s="90"/>
      <x:c r="K110" s="90"/>
      <x:c r="L110" s="96"/>
      <x:c r="M110" s="86" t="str">
        <x:f>IF(A110="","",IF(L110&lt;&gt;"",MAX(0,MIN(1,L110)),IF(AND(K110&lt;&gt;"",K110&gt;0,J110&lt;&gt;""),MAX(0,MIN(1,J110/K110)),IF(I110="",0,SUMIF('Lists &amp; Setup'!$A$4:$A$8,I110,'Lists &amp; Setup'!$B$4:$B$8)))))</x:f>
      </x:c>
      <x:c r="N110" s="86" t="str">
        <x:f>IF(A110="","",IF(OR(F110="",G110=""),0,IF(TODAY()&lt;F110,0,IF(TODAY()&gt;=G110,1,(TODAY()-F110+1)/MAX(1,G110-F110+1)))))</x:f>
      </x:c>
      <x:c r="O110" s="86" t="str">
        <x:f>IF(A110="","",M110-N110)</x:f>
      </x:c>
      <x:c r="P110" s="98"/>
      <x:c r="Q110" s="91"/>
      <x:c r="R110" s="88" t="str">
        <x:f>IF(A110="","",IF(M110&gt;=1,"Complete",IF(I110="Blocked","Blocked",IF(G110="","No Due Date",IF(G110&lt;TODAY(),"Overdue",IF(M110+0.1&lt;N110,"At Risk",IF(G110-TODAY()&lt;=7,"Due Soon","On Track")))))))</x:f>
      </x:c>
      <x:c r="S110" s="91"/>
    </x:row>
    <x:row r="111">
      <x:c r="A111" s="90"/>
      <x:c r="B111" s="90"/>
      <x:c r="C111" s="91"/>
      <x:c r="D111" s="90"/>
      <x:c r="E111" s="90"/>
      <x:c r="F111" s="92"/>
      <x:c r="G111" s="92"/>
      <x:c r="H111" s="84" t="str">
        <x:f>IF(A111="","",IF(OR(F111="",G111=""),"",MAX(0,G111-F111+1)))</x:f>
      </x:c>
      <x:c r="I111" s="90"/>
      <x:c r="J111" s="90"/>
      <x:c r="K111" s="90"/>
      <x:c r="L111" s="96"/>
      <x:c r="M111" s="86" t="str">
        <x:f>IF(A111="","",IF(L111&lt;&gt;"",MAX(0,MIN(1,L111)),IF(AND(K111&lt;&gt;"",K111&gt;0,J111&lt;&gt;""),MAX(0,MIN(1,J111/K111)),IF(I111="",0,SUMIF('Lists &amp; Setup'!$A$4:$A$8,I111,'Lists &amp; Setup'!$B$4:$B$8)))))</x:f>
      </x:c>
      <x:c r="N111" s="86" t="str">
        <x:f>IF(A111="","",IF(OR(F111="",G111=""),0,IF(TODAY()&lt;F111,0,IF(TODAY()&gt;=G111,1,(TODAY()-F111+1)/MAX(1,G111-F111+1)))))</x:f>
      </x:c>
      <x:c r="O111" s="86" t="str">
        <x:f>IF(A111="","",M111-N111)</x:f>
      </x:c>
      <x:c r="P111" s="98"/>
      <x:c r="Q111" s="91"/>
      <x:c r="R111" s="88" t="str">
        <x:f>IF(A111="","",IF(M111&gt;=1,"Complete",IF(I111="Blocked","Blocked",IF(G111="","No Due Date",IF(G111&lt;TODAY(),"Overdue",IF(M111+0.1&lt;N111,"At Risk",IF(G111-TODAY()&lt;=7,"Due Soon","On Track")))))))</x:f>
      </x:c>
      <x:c r="S111" s="91"/>
    </x:row>
    <x:row r="112">
      <x:c r="A112" s="90"/>
      <x:c r="B112" s="90"/>
      <x:c r="C112" s="91"/>
      <x:c r="D112" s="90"/>
      <x:c r="E112" s="90"/>
      <x:c r="F112" s="92"/>
      <x:c r="G112" s="92"/>
      <x:c r="H112" s="84" t="str">
        <x:f>IF(A112="","",IF(OR(F112="",G112=""),"",MAX(0,G112-F112+1)))</x:f>
      </x:c>
      <x:c r="I112" s="90"/>
      <x:c r="J112" s="90"/>
      <x:c r="K112" s="90"/>
      <x:c r="L112" s="96"/>
      <x:c r="M112" s="86" t="str">
        <x:f>IF(A112="","",IF(L112&lt;&gt;"",MAX(0,MIN(1,L112)),IF(AND(K112&lt;&gt;"",K112&gt;0,J112&lt;&gt;""),MAX(0,MIN(1,J112/K112)),IF(I112="",0,SUMIF('Lists &amp; Setup'!$A$4:$A$8,I112,'Lists &amp; Setup'!$B$4:$B$8)))))</x:f>
      </x:c>
      <x:c r="N112" s="86" t="str">
        <x:f>IF(A112="","",IF(OR(F112="",G112=""),0,IF(TODAY()&lt;F112,0,IF(TODAY()&gt;=G112,1,(TODAY()-F112+1)/MAX(1,G112-F112+1)))))</x:f>
      </x:c>
      <x:c r="O112" s="86" t="str">
        <x:f>IF(A112="","",M112-N112)</x:f>
      </x:c>
      <x:c r="P112" s="98"/>
      <x:c r="Q112" s="91"/>
      <x:c r="R112" s="88" t="str">
        <x:f>IF(A112="","",IF(M112&gt;=1,"Complete",IF(I112="Blocked","Blocked",IF(G112="","No Due Date",IF(G112&lt;TODAY(),"Overdue",IF(M112+0.1&lt;N112,"At Risk",IF(G112-TODAY()&lt;=7,"Due Soon","On Track")))))))</x:f>
      </x:c>
      <x:c r="S112" s="91"/>
    </x:row>
    <x:row r="113">
      <x:c r="A113" s="90"/>
      <x:c r="B113" s="90"/>
      <x:c r="C113" s="91"/>
      <x:c r="D113" s="90"/>
      <x:c r="E113" s="90"/>
      <x:c r="F113" s="92"/>
      <x:c r="G113" s="92"/>
      <x:c r="H113" s="84" t="str">
        <x:f>IF(A113="","",IF(OR(F113="",G113=""),"",MAX(0,G113-F113+1)))</x:f>
      </x:c>
      <x:c r="I113" s="90"/>
      <x:c r="J113" s="90"/>
      <x:c r="K113" s="90"/>
      <x:c r="L113" s="96"/>
      <x:c r="M113" s="86" t="str">
        <x:f>IF(A113="","",IF(L113&lt;&gt;"",MAX(0,MIN(1,L113)),IF(AND(K113&lt;&gt;"",K113&gt;0,J113&lt;&gt;""),MAX(0,MIN(1,J113/K113)),IF(I113="",0,SUMIF('Lists &amp; Setup'!$A$4:$A$8,I113,'Lists &amp; Setup'!$B$4:$B$8)))))</x:f>
      </x:c>
      <x:c r="N113" s="86" t="str">
        <x:f>IF(A113="","",IF(OR(F113="",G113=""),0,IF(TODAY()&lt;F113,0,IF(TODAY()&gt;=G113,1,(TODAY()-F113+1)/MAX(1,G113-F113+1)))))</x:f>
      </x:c>
      <x:c r="O113" s="86" t="str">
        <x:f>IF(A113="","",M113-N113)</x:f>
      </x:c>
      <x:c r="P113" s="98"/>
      <x:c r="Q113" s="91"/>
      <x:c r="R113" s="88" t="str">
        <x:f>IF(A113="","",IF(M113&gt;=1,"Complete",IF(I113="Blocked","Blocked",IF(G113="","No Due Date",IF(G113&lt;TODAY(),"Overdue",IF(M113+0.1&lt;N113,"At Risk",IF(G113-TODAY()&lt;=7,"Due Soon","On Track")))))))</x:f>
      </x:c>
      <x:c r="S113" s="91"/>
    </x:row>
    <x:row r="114">
      <x:c r="A114" s="90"/>
      <x:c r="B114" s="90"/>
      <x:c r="C114" s="91"/>
      <x:c r="D114" s="90"/>
      <x:c r="E114" s="90"/>
      <x:c r="F114" s="92"/>
      <x:c r="G114" s="92"/>
      <x:c r="H114" s="84" t="str">
        <x:f>IF(A114="","",IF(OR(F114="",G114=""),"",MAX(0,G114-F114+1)))</x:f>
      </x:c>
      <x:c r="I114" s="90"/>
      <x:c r="J114" s="90"/>
      <x:c r="K114" s="90"/>
      <x:c r="L114" s="96"/>
      <x:c r="M114" s="86" t="str">
        <x:f>IF(A114="","",IF(L114&lt;&gt;"",MAX(0,MIN(1,L114)),IF(AND(K114&lt;&gt;"",K114&gt;0,J114&lt;&gt;""),MAX(0,MIN(1,J114/K114)),IF(I114="",0,SUMIF('Lists &amp; Setup'!$A$4:$A$8,I114,'Lists &amp; Setup'!$B$4:$B$8)))))</x:f>
      </x:c>
      <x:c r="N114" s="86" t="str">
        <x:f>IF(A114="","",IF(OR(F114="",G114=""),0,IF(TODAY()&lt;F114,0,IF(TODAY()&gt;=G114,1,(TODAY()-F114+1)/MAX(1,G114-F114+1)))))</x:f>
      </x:c>
      <x:c r="O114" s="86" t="str">
        <x:f>IF(A114="","",M114-N114)</x:f>
      </x:c>
      <x:c r="P114" s="98"/>
      <x:c r="Q114" s="91"/>
      <x:c r="R114" s="88" t="str">
        <x:f>IF(A114="","",IF(M114&gt;=1,"Complete",IF(I114="Blocked","Blocked",IF(G114="","No Due Date",IF(G114&lt;TODAY(),"Overdue",IF(M114+0.1&lt;N114,"At Risk",IF(G114-TODAY()&lt;=7,"Due Soon","On Track")))))))</x:f>
      </x:c>
      <x:c r="S114" s="91"/>
    </x:row>
    <x:row r="115">
      <x:c r="A115" s="90"/>
      <x:c r="B115" s="90"/>
      <x:c r="C115" s="91"/>
      <x:c r="D115" s="90"/>
      <x:c r="E115" s="90"/>
      <x:c r="F115" s="92"/>
      <x:c r="G115" s="92"/>
      <x:c r="H115" s="84" t="str">
        <x:f>IF(A115="","",IF(OR(F115="",G115=""),"",MAX(0,G115-F115+1)))</x:f>
      </x:c>
      <x:c r="I115" s="90"/>
      <x:c r="J115" s="90"/>
      <x:c r="K115" s="90"/>
      <x:c r="L115" s="96"/>
      <x:c r="M115" s="86" t="str">
        <x:f>IF(A115="","",IF(L115&lt;&gt;"",MAX(0,MIN(1,L115)),IF(AND(K115&lt;&gt;"",K115&gt;0,J115&lt;&gt;""),MAX(0,MIN(1,J115/K115)),IF(I115="",0,SUMIF('Lists &amp; Setup'!$A$4:$A$8,I115,'Lists &amp; Setup'!$B$4:$B$8)))))</x:f>
      </x:c>
      <x:c r="N115" s="86" t="str">
        <x:f>IF(A115="","",IF(OR(F115="",G115=""),0,IF(TODAY()&lt;F115,0,IF(TODAY()&gt;=G115,1,(TODAY()-F115+1)/MAX(1,G115-F115+1)))))</x:f>
      </x:c>
      <x:c r="O115" s="86" t="str">
        <x:f>IF(A115="","",M115-N115)</x:f>
      </x:c>
      <x:c r="P115" s="98"/>
      <x:c r="Q115" s="91"/>
      <x:c r="R115" s="88" t="str">
        <x:f>IF(A115="","",IF(M115&gt;=1,"Complete",IF(I115="Blocked","Blocked",IF(G115="","No Due Date",IF(G115&lt;TODAY(),"Overdue",IF(M115+0.1&lt;N115,"At Risk",IF(G115-TODAY()&lt;=7,"Due Soon","On Track")))))))</x:f>
      </x:c>
      <x:c r="S115" s="91"/>
    </x:row>
    <x:row r="116">
      <x:c r="A116" s="90"/>
      <x:c r="B116" s="90"/>
      <x:c r="C116" s="91"/>
      <x:c r="D116" s="90"/>
      <x:c r="E116" s="90"/>
      <x:c r="F116" s="92"/>
      <x:c r="G116" s="92"/>
      <x:c r="H116" s="84" t="str">
        <x:f>IF(A116="","",IF(OR(F116="",G116=""),"",MAX(0,G116-F116+1)))</x:f>
      </x:c>
      <x:c r="I116" s="90"/>
      <x:c r="J116" s="90"/>
      <x:c r="K116" s="90"/>
      <x:c r="L116" s="96"/>
      <x:c r="M116" s="86" t="str">
        <x:f>IF(A116="","",IF(L116&lt;&gt;"",MAX(0,MIN(1,L116)),IF(AND(K116&lt;&gt;"",K116&gt;0,J116&lt;&gt;""),MAX(0,MIN(1,J116/K116)),IF(I116="",0,SUMIF('Lists &amp; Setup'!$A$4:$A$8,I116,'Lists &amp; Setup'!$B$4:$B$8)))))</x:f>
      </x:c>
      <x:c r="N116" s="86" t="str">
        <x:f>IF(A116="","",IF(OR(F116="",G116=""),0,IF(TODAY()&lt;F116,0,IF(TODAY()&gt;=G116,1,(TODAY()-F116+1)/MAX(1,G116-F116+1)))))</x:f>
      </x:c>
      <x:c r="O116" s="86" t="str">
        <x:f>IF(A116="","",M116-N116)</x:f>
      </x:c>
      <x:c r="P116" s="98"/>
      <x:c r="Q116" s="91"/>
      <x:c r="R116" s="88" t="str">
        <x:f>IF(A116="","",IF(M116&gt;=1,"Complete",IF(I116="Blocked","Blocked",IF(G116="","No Due Date",IF(G116&lt;TODAY(),"Overdue",IF(M116+0.1&lt;N116,"At Risk",IF(G116-TODAY()&lt;=7,"Due Soon","On Track")))))))</x:f>
      </x:c>
      <x:c r="S116" s="91"/>
    </x:row>
    <x:row r="117">
      <x:c r="A117" s="90"/>
      <x:c r="B117" s="90"/>
      <x:c r="C117" s="91"/>
      <x:c r="D117" s="90"/>
      <x:c r="E117" s="90"/>
      <x:c r="F117" s="92"/>
      <x:c r="G117" s="92"/>
      <x:c r="H117" s="84" t="str">
        <x:f>IF(A117="","",IF(OR(F117="",G117=""),"",MAX(0,G117-F117+1)))</x:f>
      </x:c>
      <x:c r="I117" s="90"/>
      <x:c r="J117" s="90"/>
      <x:c r="K117" s="90"/>
      <x:c r="L117" s="96"/>
      <x:c r="M117" s="86" t="str">
        <x:f>IF(A117="","",IF(L117&lt;&gt;"",MAX(0,MIN(1,L117)),IF(AND(K117&lt;&gt;"",K117&gt;0,J117&lt;&gt;""),MAX(0,MIN(1,J117/K117)),IF(I117="",0,SUMIF('Lists &amp; Setup'!$A$4:$A$8,I117,'Lists &amp; Setup'!$B$4:$B$8)))))</x:f>
      </x:c>
      <x:c r="N117" s="86" t="str">
        <x:f>IF(A117="","",IF(OR(F117="",G117=""),0,IF(TODAY()&lt;F117,0,IF(TODAY()&gt;=G117,1,(TODAY()-F117+1)/MAX(1,G117-F117+1)))))</x:f>
      </x:c>
      <x:c r="O117" s="86" t="str">
        <x:f>IF(A117="","",M117-N117)</x:f>
      </x:c>
      <x:c r="P117" s="98"/>
      <x:c r="Q117" s="91"/>
      <x:c r="R117" s="88" t="str">
        <x:f>IF(A117="","",IF(M117&gt;=1,"Complete",IF(I117="Blocked","Blocked",IF(G117="","No Due Date",IF(G117&lt;TODAY(),"Overdue",IF(M117+0.1&lt;N117,"At Risk",IF(G117-TODAY()&lt;=7,"Due Soon","On Track")))))))</x:f>
      </x:c>
      <x:c r="S117" s="91"/>
    </x:row>
    <x:row r="118">
      <x:c r="A118" s="90"/>
      <x:c r="B118" s="90"/>
      <x:c r="C118" s="91"/>
      <x:c r="D118" s="90"/>
      <x:c r="E118" s="90"/>
      <x:c r="F118" s="92"/>
      <x:c r="G118" s="92"/>
      <x:c r="H118" s="84" t="str">
        <x:f>IF(A118="","",IF(OR(F118="",G118=""),"",MAX(0,G118-F118+1)))</x:f>
      </x:c>
      <x:c r="I118" s="90"/>
      <x:c r="J118" s="90"/>
      <x:c r="K118" s="90"/>
      <x:c r="L118" s="96"/>
      <x:c r="M118" s="86" t="str">
        <x:f>IF(A118="","",IF(L118&lt;&gt;"",MAX(0,MIN(1,L118)),IF(AND(K118&lt;&gt;"",K118&gt;0,J118&lt;&gt;""),MAX(0,MIN(1,J118/K118)),IF(I118="",0,SUMIF('Lists &amp; Setup'!$A$4:$A$8,I118,'Lists &amp; Setup'!$B$4:$B$8)))))</x:f>
      </x:c>
      <x:c r="N118" s="86" t="str">
        <x:f>IF(A118="","",IF(OR(F118="",G118=""),0,IF(TODAY()&lt;F118,0,IF(TODAY()&gt;=G118,1,(TODAY()-F118+1)/MAX(1,G118-F118+1)))))</x:f>
      </x:c>
      <x:c r="O118" s="86" t="str">
        <x:f>IF(A118="","",M118-N118)</x:f>
      </x:c>
      <x:c r="P118" s="98"/>
      <x:c r="Q118" s="91"/>
      <x:c r="R118" s="88" t="str">
        <x:f>IF(A118="","",IF(M118&gt;=1,"Complete",IF(I118="Blocked","Blocked",IF(G118="","No Due Date",IF(G118&lt;TODAY(),"Overdue",IF(M118+0.1&lt;N118,"At Risk",IF(G118-TODAY()&lt;=7,"Due Soon","On Track")))))))</x:f>
      </x:c>
      <x:c r="S118" s="91"/>
    </x:row>
    <x:row r="119">
      <x:c r="A119" s="90"/>
      <x:c r="B119" s="90"/>
      <x:c r="C119" s="91"/>
      <x:c r="D119" s="90"/>
      <x:c r="E119" s="90"/>
      <x:c r="F119" s="92"/>
      <x:c r="G119" s="92"/>
      <x:c r="H119" s="84" t="str">
        <x:f>IF(A119="","",IF(OR(F119="",G119=""),"",MAX(0,G119-F119+1)))</x:f>
      </x:c>
      <x:c r="I119" s="90"/>
      <x:c r="J119" s="90"/>
      <x:c r="K119" s="90"/>
      <x:c r="L119" s="96"/>
      <x:c r="M119" s="86" t="str">
        <x:f>IF(A119="","",IF(L119&lt;&gt;"",MAX(0,MIN(1,L119)),IF(AND(K119&lt;&gt;"",K119&gt;0,J119&lt;&gt;""),MAX(0,MIN(1,J119/K119)),IF(I119="",0,SUMIF('Lists &amp; Setup'!$A$4:$A$8,I119,'Lists &amp; Setup'!$B$4:$B$8)))))</x:f>
      </x:c>
      <x:c r="N119" s="86" t="str">
        <x:f>IF(A119="","",IF(OR(F119="",G119=""),0,IF(TODAY()&lt;F119,0,IF(TODAY()&gt;=G119,1,(TODAY()-F119+1)/MAX(1,G119-F119+1)))))</x:f>
      </x:c>
      <x:c r="O119" s="86" t="str">
        <x:f>IF(A119="","",M119-N119)</x:f>
      </x:c>
      <x:c r="P119" s="98"/>
      <x:c r="Q119" s="91"/>
      <x:c r="R119" s="88" t="str">
        <x:f>IF(A119="","",IF(M119&gt;=1,"Complete",IF(I119="Blocked","Blocked",IF(G119="","No Due Date",IF(G119&lt;TODAY(),"Overdue",IF(M119+0.1&lt;N119,"At Risk",IF(G119-TODAY()&lt;=7,"Due Soon","On Track")))))))</x:f>
      </x:c>
      <x:c r="S119" s="91"/>
    </x:row>
    <x:row r="120">
      <x:c r="A120" s="90"/>
      <x:c r="B120" s="90"/>
      <x:c r="C120" s="91"/>
      <x:c r="D120" s="90"/>
      <x:c r="E120" s="90"/>
      <x:c r="F120" s="92"/>
      <x:c r="G120" s="92"/>
      <x:c r="H120" s="84" t="str">
        <x:f>IF(A120="","",IF(OR(F120="",G120=""),"",MAX(0,G120-F120+1)))</x:f>
      </x:c>
      <x:c r="I120" s="90"/>
      <x:c r="J120" s="90"/>
      <x:c r="K120" s="90"/>
      <x:c r="L120" s="96"/>
      <x:c r="M120" s="86" t="str">
        <x:f>IF(A120="","",IF(L120&lt;&gt;"",MAX(0,MIN(1,L120)),IF(AND(K120&lt;&gt;"",K120&gt;0,J120&lt;&gt;""),MAX(0,MIN(1,J120/K120)),IF(I120="",0,SUMIF('Lists &amp; Setup'!$A$4:$A$8,I120,'Lists &amp; Setup'!$B$4:$B$8)))))</x:f>
      </x:c>
      <x:c r="N120" s="86" t="str">
        <x:f>IF(A120="","",IF(OR(F120="",G120=""),0,IF(TODAY()&lt;F120,0,IF(TODAY()&gt;=G120,1,(TODAY()-F120+1)/MAX(1,G120-F120+1)))))</x:f>
      </x:c>
      <x:c r="O120" s="86" t="str">
        <x:f>IF(A120="","",M120-N120)</x:f>
      </x:c>
      <x:c r="P120" s="98"/>
      <x:c r="Q120" s="91"/>
      <x:c r="R120" s="88" t="str">
        <x:f>IF(A120="","",IF(M120&gt;=1,"Complete",IF(I120="Blocked","Blocked",IF(G120="","No Due Date",IF(G120&lt;TODAY(),"Overdue",IF(M120+0.1&lt;N120,"At Risk",IF(G120-TODAY()&lt;=7,"Due Soon","On Track")))))))</x:f>
      </x:c>
      <x:c r="S120" s="91"/>
    </x:row>
    <x:row r="121">
      <x:c r="A121" s="90"/>
      <x:c r="B121" s="90"/>
      <x:c r="C121" s="91"/>
      <x:c r="D121" s="90"/>
      <x:c r="E121" s="90"/>
      <x:c r="F121" s="92"/>
      <x:c r="G121" s="92"/>
      <x:c r="H121" s="84" t="str">
        <x:f>IF(A121="","",IF(OR(F121="",G121=""),"",MAX(0,G121-F121+1)))</x:f>
      </x:c>
      <x:c r="I121" s="90"/>
      <x:c r="J121" s="90"/>
      <x:c r="K121" s="90"/>
      <x:c r="L121" s="96"/>
      <x:c r="M121" s="86" t="str">
        <x:f>IF(A121="","",IF(L121&lt;&gt;"",MAX(0,MIN(1,L121)),IF(AND(K121&lt;&gt;"",K121&gt;0,J121&lt;&gt;""),MAX(0,MIN(1,J121/K121)),IF(I121="",0,SUMIF('Lists &amp; Setup'!$A$4:$A$8,I121,'Lists &amp; Setup'!$B$4:$B$8)))))</x:f>
      </x:c>
      <x:c r="N121" s="86" t="str">
        <x:f>IF(A121="","",IF(OR(F121="",G121=""),0,IF(TODAY()&lt;F121,0,IF(TODAY()&gt;=G121,1,(TODAY()-F121+1)/MAX(1,G121-F121+1)))))</x:f>
      </x:c>
      <x:c r="O121" s="86" t="str">
        <x:f>IF(A121="","",M121-N121)</x:f>
      </x:c>
      <x:c r="P121" s="98"/>
      <x:c r="Q121" s="91"/>
      <x:c r="R121" s="88" t="str">
        <x:f>IF(A121="","",IF(M121&gt;=1,"Complete",IF(I121="Blocked","Blocked",IF(G121="","No Due Date",IF(G121&lt;TODAY(),"Overdue",IF(M121+0.1&lt;N121,"At Risk",IF(G121-TODAY()&lt;=7,"Due Soon","On Track")))))))</x:f>
      </x:c>
      <x:c r="S121" s="91"/>
    </x:row>
    <x:row r="122">
      <x:c r="A122" s="90"/>
      <x:c r="B122" s="90"/>
      <x:c r="C122" s="91"/>
      <x:c r="D122" s="90"/>
      <x:c r="E122" s="90"/>
      <x:c r="F122" s="92"/>
      <x:c r="G122" s="92"/>
      <x:c r="H122" s="84" t="str">
        <x:f>IF(A122="","",IF(OR(F122="",G122=""),"",MAX(0,G122-F122+1)))</x:f>
      </x:c>
      <x:c r="I122" s="90"/>
      <x:c r="J122" s="90"/>
      <x:c r="K122" s="90"/>
      <x:c r="L122" s="96"/>
      <x:c r="M122" s="86" t="str">
        <x:f>IF(A122="","",IF(L122&lt;&gt;"",MAX(0,MIN(1,L122)),IF(AND(K122&lt;&gt;"",K122&gt;0,J122&lt;&gt;""),MAX(0,MIN(1,J122/K122)),IF(I122="",0,SUMIF('Lists &amp; Setup'!$A$4:$A$8,I122,'Lists &amp; Setup'!$B$4:$B$8)))))</x:f>
      </x:c>
      <x:c r="N122" s="86" t="str">
        <x:f>IF(A122="","",IF(OR(F122="",G122=""),0,IF(TODAY()&lt;F122,0,IF(TODAY()&gt;=G122,1,(TODAY()-F122+1)/MAX(1,G122-F122+1)))))</x:f>
      </x:c>
      <x:c r="O122" s="86" t="str">
        <x:f>IF(A122="","",M122-N122)</x:f>
      </x:c>
      <x:c r="P122" s="98"/>
      <x:c r="Q122" s="91"/>
      <x:c r="R122" s="88" t="str">
        <x:f>IF(A122="","",IF(M122&gt;=1,"Complete",IF(I122="Blocked","Blocked",IF(G122="","No Due Date",IF(G122&lt;TODAY(),"Overdue",IF(M122+0.1&lt;N122,"At Risk",IF(G122-TODAY()&lt;=7,"Due Soon","On Track")))))))</x:f>
      </x:c>
      <x:c r="S122" s="91"/>
    </x:row>
    <x:row r="123">
      <x:c r="A123" s="90"/>
      <x:c r="B123" s="90"/>
      <x:c r="C123" s="91"/>
      <x:c r="D123" s="90"/>
      <x:c r="E123" s="90"/>
      <x:c r="F123" s="92"/>
      <x:c r="G123" s="92"/>
      <x:c r="H123" s="84" t="str">
        <x:f>IF(A123="","",IF(OR(F123="",G123=""),"",MAX(0,G123-F123+1)))</x:f>
      </x:c>
      <x:c r="I123" s="90"/>
      <x:c r="J123" s="90"/>
      <x:c r="K123" s="90"/>
      <x:c r="L123" s="96"/>
      <x:c r="M123" s="86" t="str">
        <x:f>IF(A123="","",IF(L123&lt;&gt;"",MAX(0,MIN(1,L123)),IF(AND(K123&lt;&gt;"",K123&gt;0,J123&lt;&gt;""),MAX(0,MIN(1,J123/K123)),IF(I123="",0,SUMIF('Lists &amp; Setup'!$A$4:$A$8,I123,'Lists &amp; Setup'!$B$4:$B$8)))))</x:f>
      </x:c>
      <x:c r="N123" s="86" t="str">
        <x:f>IF(A123="","",IF(OR(F123="",G123=""),0,IF(TODAY()&lt;F123,0,IF(TODAY()&gt;=G123,1,(TODAY()-F123+1)/MAX(1,G123-F123+1)))))</x:f>
      </x:c>
      <x:c r="O123" s="86" t="str">
        <x:f>IF(A123="","",M123-N123)</x:f>
      </x:c>
      <x:c r="P123" s="98"/>
      <x:c r="Q123" s="91"/>
      <x:c r="R123" s="88" t="str">
        <x:f>IF(A123="","",IF(M123&gt;=1,"Complete",IF(I123="Blocked","Blocked",IF(G123="","No Due Date",IF(G123&lt;TODAY(),"Overdue",IF(M123+0.1&lt;N123,"At Risk",IF(G123-TODAY()&lt;=7,"Due Soon","On Track")))))))</x:f>
      </x:c>
      <x:c r="S123" s="91"/>
    </x:row>
    <x:row r="124">
      <x:c r="A124" s="90"/>
      <x:c r="B124" s="90"/>
      <x:c r="C124" s="91"/>
      <x:c r="D124" s="90"/>
      <x:c r="E124" s="90"/>
      <x:c r="F124" s="92"/>
      <x:c r="G124" s="92"/>
      <x:c r="H124" s="84" t="str">
        <x:f>IF(A124="","",IF(OR(F124="",G124=""),"",MAX(0,G124-F124+1)))</x:f>
      </x:c>
      <x:c r="I124" s="90"/>
      <x:c r="J124" s="90"/>
      <x:c r="K124" s="90"/>
      <x:c r="L124" s="96"/>
      <x:c r="M124" s="86" t="str">
        <x:f>IF(A124="","",IF(L124&lt;&gt;"",MAX(0,MIN(1,L124)),IF(AND(K124&lt;&gt;"",K124&gt;0,J124&lt;&gt;""),MAX(0,MIN(1,J124/K124)),IF(I124="",0,SUMIF('Lists &amp; Setup'!$A$4:$A$8,I124,'Lists &amp; Setup'!$B$4:$B$8)))))</x:f>
      </x:c>
      <x:c r="N124" s="86" t="str">
        <x:f>IF(A124="","",IF(OR(F124="",G124=""),0,IF(TODAY()&lt;F124,0,IF(TODAY()&gt;=G124,1,(TODAY()-F124+1)/MAX(1,G124-F124+1)))))</x:f>
      </x:c>
      <x:c r="O124" s="86" t="str">
        <x:f>IF(A124="","",M124-N124)</x:f>
      </x:c>
      <x:c r="P124" s="98"/>
      <x:c r="Q124" s="91"/>
      <x:c r="R124" s="88" t="str">
        <x:f>IF(A124="","",IF(M124&gt;=1,"Complete",IF(I124="Blocked","Blocked",IF(G124="","No Due Date",IF(G124&lt;TODAY(),"Overdue",IF(M124+0.1&lt;N124,"At Risk",IF(G124-TODAY()&lt;=7,"Due Soon","On Track")))))))</x:f>
      </x:c>
      <x:c r="S124" s="91"/>
    </x:row>
    <x:row r="125">
      <x:c r="A125" s="90"/>
      <x:c r="B125" s="90"/>
      <x:c r="C125" s="91"/>
      <x:c r="D125" s="90"/>
      <x:c r="E125" s="90"/>
      <x:c r="F125" s="92"/>
      <x:c r="G125" s="92"/>
      <x:c r="H125" s="84" t="str">
        <x:f>IF(A125="","",IF(OR(F125="",G125=""),"",MAX(0,G125-F125+1)))</x:f>
      </x:c>
      <x:c r="I125" s="90"/>
      <x:c r="J125" s="90"/>
      <x:c r="K125" s="90"/>
      <x:c r="L125" s="96"/>
      <x:c r="M125" s="86" t="str">
        <x:f>IF(A125="","",IF(L125&lt;&gt;"",MAX(0,MIN(1,L125)),IF(AND(K125&lt;&gt;"",K125&gt;0,J125&lt;&gt;""),MAX(0,MIN(1,J125/K125)),IF(I125="",0,SUMIF('Lists &amp; Setup'!$A$4:$A$8,I125,'Lists &amp; Setup'!$B$4:$B$8)))))</x:f>
      </x:c>
      <x:c r="N125" s="86" t="str">
        <x:f>IF(A125="","",IF(OR(F125="",G125=""),0,IF(TODAY()&lt;F125,0,IF(TODAY()&gt;=G125,1,(TODAY()-F125+1)/MAX(1,G125-F125+1)))))</x:f>
      </x:c>
      <x:c r="O125" s="86" t="str">
        <x:f>IF(A125="","",M125-N125)</x:f>
      </x:c>
      <x:c r="P125" s="98"/>
      <x:c r="Q125" s="91"/>
      <x:c r="R125" s="88" t="str">
        <x:f>IF(A125="","",IF(M125&gt;=1,"Complete",IF(I125="Blocked","Blocked",IF(G125="","No Due Date",IF(G125&lt;TODAY(),"Overdue",IF(M125+0.1&lt;N125,"At Risk",IF(G125-TODAY()&lt;=7,"Due Soon","On Track")))))))</x:f>
      </x:c>
      <x:c r="S125" s="91"/>
    </x:row>
    <x:row r="126">
      <x:c r="A126" s="90"/>
      <x:c r="B126" s="90"/>
      <x:c r="C126" s="91"/>
      <x:c r="D126" s="90"/>
      <x:c r="E126" s="90"/>
      <x:c r="F126" s="92"/>
      <x:c r="G126" s="92"/>
      <x:c r="H126" s="84" t="str">
        <x:f>IF(A126="","",IF(OR(F126="",G126=""),"",MAX(0,G126-F126+1)))</x:f>
      </x:c>
      <x:c r="I126" s="90"/>
      <x:c r="J126" s="90"/>
      <x:c r="K126" s="90"/>
      <x:c r="L126" s="96"/>
      <x:c r="M126" s="86" t="str">
        <x:f>IF(A126="","",IF(L126&lt;&gt;"",MAX(0,MIN(1,L126)),IF(AND(K126&lt;&gt;"",K126&gt;0,J126&lt;&gt;""),MAX(0,MIN(1,J126/K126)),IF(I126="",0,SUMIF('Lists &amp; Setup'!$A$4:$A$8,I126,'Lists &amp; Setup'!$B$4:$B$8)))))</x:f>
      </x:c>
      <x:c r="N126" s="86" t="str">
        <x:f>IF(A126="","",IF(OR(F126="",G126=""),0,IF(TODAY()&lt;F126,0,IF(TODAY()&gt;=G126,1,(TODAY()-F126+1)/MAX(1,G126-F126+1)))))</x:f>
      </x:c>
      <x:c r="O126" s="86" t="str">
        <x:f>IF(A126="","",M126-N126)</x:f>
      </x:c>
      <x:c r="P126" s="98"/>
      <x:c r="Q126" s="91"/>
      <x:c r="R126" s="88" t="str">
        <x:f>IF(A126="","",IF(M126&gt;=1,"Complete",IF(I126="Blocked","Blocked",IF(G126="","No Due Date",IF(G126&lt;TODAY(),"Overdue",IF(M126+0.1&lt;N126,"At Risk",IF(G126-TODAY()&lt;=7,"Due Soon","On Track")))))))</x:f>
      </x:c>
      <x:c r="S126" s="91"/>
    </x:row>
    <x:row r="127">
      <x:c r="A127" s="90"/>
      <x:c r="B127" s="90"/>
      <x:c r="C127" s="91"/>
      <x:c r="D127" s="90"/>
      <x:c r="E127" s="90"/>
      <x:c r="F127" s="92"/>
      <x:c r="G127" s="92"/>
      <x:c r="H127" s="84" t="str">
        <x:f>IF(A127="","",IF(OR(F127="",G127=""),"",MAX(0,G127-F127+1)))</x:f>
      </x:c>
      <x:c r="I127" s="90"/>
      <x:c r="J127" s="90"/>
      <x:c r="K127" s="90"/>
      <x:c r="L127" s="96"/>
      <x:c r="M127" s="86" t="str">
        <x:f>IF(A127="","",IF(L127&lt;&gt;"",MAX(0,MIN(1,L127)),IF(AND(K127&lt;&gt;"",K127&gt;0,J127&lt;&gt;""),MAX(0,MIN(1,J127/K127)),IF(I127="",0,SUMIF('Lists &amp; Setup'!$A$4:$A$8,I127,'Lists &amp; Setup'!$B$4:$B$8)))))</x:f>
      </x:c>
      <x:c r="N127" s="86" t="str">
        <x:f>IF(A127="","",IF(OR(F127="",G127=""),0,IF(TODAY()&lt;F127,0,IF(TODAY()&gt;=G127,1,(TODAY()-F127+1)/MAX(1,G127-F127+1)))))</x:f>
      </x:c>
      <x:c r="O127" s="86" t="str">
        <x:f>IF(A127="","",M127-N127)</x:f>
      </x:c>
      <x:c r="P127" s="98"/>
      <x:c r="Q127" s="91"/>
      <x:c r="R127" s="88" t="str">
        <x:f>IF(A127="","",IF(M127&gt;=1,"Complete",IF(I127="Blocked","Blocked",IF(G127="","No Due Date",IF(G127&lt;TODAY(),"Overdue",IF(M127+0.1&lt;N127,"At Risk",IF(G127-TODAY()&lt;=7,"Due Soon","On Track")))))))</x:f>
      </x:c>
      <x:c r="S127" s="91"/>
    </x:row>
    <x:row r="128">
      <x:c r="A128" s="90"/>
      <x:c r="B128" s="90"/>
      <x:c r="C128" s="91"/>
      <x:c r="D128" s="90"/>
      <x:c r="E128" s="90"/>
      <x:c r="F128" s="92"/>
      <x:c r="G128" s="92"/>
      <x:c r="H128" s="84" t="str">
        <x:f>IF(A128="","",IF(OR(F128="",G128=""),"",MAX(0,G128-F128+1)))</x:f>
      </x:c>
      <x:c r="I128" s="90"/>
      <x:c r="J128" s="90"/>
      <x:c r="K128" s="90"/>
      <x:c r="L128" s="96"/>
      <x:c r="M128" s="86" t="str">
        <x:f>IF(A128="","",IF(L128&lt;&gt;"",MAX(0,MIN(1,L128)),IF(AND(K128&lt;&gt;"",K128&gt;0,J128&lt;&gt;""),MAX(0,MIN(1,J128/K128)),IF(I128="",0,SUMIF('Lists &amp; Setup'!$A$4:$A$8,I128,'Lists &amp; Setup'!$B$4:$B$8)))))</x:f>
      </x:c>
      <x:c r="N128" s="86" t="str">
        <x:f>IF(A128="","",IF(OR(F128="",G128=""),0,IF(TODAY()&lt;F128,0,IF(TODAY()&gt;=G128,1,(TODAY()-F128+1)/MAX(1,G128-F128+1)))))</x:f>
      </x:c>
      <x:c r="O128" s="86" t="str">
        <x:f>IF(A128="","",M128-N128)</x:f>
      </x:c>
      <x:c r="P128" s="98"/>
      <x:c r="Q128" s="91"/>
      <x:c r="R128" s="88" t="str">
        <x:f>IF(A128="","",IF(M128&gt;=1,"Complete",IF(I128="Blocked","Blocked",IF(G128="","No Due Date",IF(G128&lt;TODAY(),"Overdue",IF(M128+0.1&lt;N128,"At Risk",IF(G128-TODAY()&lt;=7,"Due Soon","On Track")))))))</x:f>
      </x:c>
      <x:c r="S128" s="91"/>
    </x:row>
    <x:row r="129">
      <x:c r="A129" s="90"/>
      <x:c r="B129" s="90"/>
      <x:c r="C129" s="91"/>
      <x:c r="D129" s="90"/>
      <x:c r="E129" s="90"/>
      <x:c r="F129" s="92"/>
      <x:c r="G129" s="92"/>
      <x:c r="H129" s="84" t="str">
        <x:f>IF(A129="","",IF(OR(F129="",G129=""),"",MAX(0,G129-F129+1)))</x:f>
      </x:c>
      <x:c r="I129" s="90"/>
      <x:c r="J129" s="90"/>
      <x:c r="K129" s="90"/>
      <x:c r="L129" s="96"/>
      <x:c r="M129" s="86" t="str">
        <x:f>IF(A129="","",IF(L129&lt;&gt;"",MAX(0,MIN(1,L129)),IF(AND(K129&lt;&gt;"",K129&gt;0,J129&lt;&gt;""),MAX(0,MIN(1,J129/K129)),IF(I129="",0,SUMIF('Lists &amp; Setup'!$A$4:$A$8,I129,'Lists &amp; Setup'!$B$4:$B$8)))))</x:f>
      </x:c>
      <x:c r="N129" s="86" t="str">
        <x:f>IF(A129="","",IF(OR(F129="",G129=""),0,IF(TODAY()&lt;F129,0,IF(TODAY()&gt;=G129,1,(TODAY()-F129+1)/MAX(1,G129-F129+1)))))</x:f>
      </x:c>
      <x:c r="O129" s="86" t="str">
        <x:f>IF(A129="","",M129-N129)</x:f>
      </x:c>
      <x:c r="P129" s="98"/>
      <x:c r="Q129" s="91"/>
      <x:c r="R129" s="88" t="str">
        <x:f>IF(A129="","",IF(M129&gt;=1,"Complete",IF(I129="Blocked","Blocked",IF(G129="","No Due Date",IF(G129&lt;TODAY(),"Overdue",IF(M129+0.1&lt;N129,"At Risk",IF(G129-TODAY()&lt;=7,"Due Soon","On Track")))))))</x:f>
      </x:c>
      <x:c r="S129" s="91"/>
    </x:row>
    <x:row r="130">
      <x:c r="A130" s="90"/>
      <x:c r="B130" s="90"/>
      <x:c r="C130" s="91"/>
      <x:c r="D130" s="90"/>
      <x:c r="E130" s="90"/>
      <x:c r="F130" s="92"/>
      <x:c r="G130" s="92"/>
      <x:c r="H130" s="84" t="str">
        <x:f>IF(A130="","",IF(OR(F130="",G130=""),"",MAX(0,G130-F130+1)))</x:f>
      </x:c>
      <x:c r="I130" s="90"/>
      <x:c r="J130" s="90"/>
      <x:c r="K130" s="90"/>
      <x:c r="L130" s="96"/>
      <x:c r="M130" s="86" t="str">
        <x:f>IF(A130="","",IF(L130&lt;&gt;"",MAX(0,MIN(1,L130)),IF(AND(K130&lt;&gt;"",K130&gt;0,J130&lt;&gt;""),MAX(0,MIN(1,J130/K130)),IF(I130="",0,SUMIF('Lists &amp; Setup'!$A$4:$A$8,I130,'Lists &amp; Setup'!$B$4:$B$8)))))</x:f>
      </x:c>
      <x:c r="N130" s="86" t="str">
        <x:f>IF(A130="","",IF(OR(F130="",G130=""),0,IF(TODAY()&lt;F130,0,IF(TODAY()&gt;=G130,1,(TODAY()-F130+1)/MAX(1,G130-F130+1)))))</x:f>
      </x:c>
      <x:c r="O130" s="86" t="str">
        <x:f>IF(A130="","",M130-N130)</x:f>
      </x:c>
      <x:c r="P130" s="98"/>
      <x:c r="Q130" s="91"/>
      <x:c r="R130" s="88" t="str">
        <x:f>IF(A130="","",IF(M130&gt;=1,"Complete",IF(I130="Blocked","Blocked",IF(G130="","No Due Date",IF(G130&lt;TODAY(),"Overdue",IF(M130+0.1&lt;N130,"At Risk",IF(G130-TODAY()&lt;=7,"Due Soon","On Track")))))))</x:f>
      </x:c>
      <x:c r="S130" s="91"/>
    </x:row>
    <x:row r="131">
      <x:c r="A131" s="90"/>
      <x:c r="B131" s="90"/>
      <x:c r="C131" s="91"/>
      <x:c r="D131" s="90"/>
      <x:c r="E131" s="90"/>
      <x:c r="F131" s="92"/>
      <x:c r="G131" s="92"/>
      <x:c r="H131" s="84" t="str">
        <x:f>IF(A131="","",IF(OR(F131="",G131=""),"",MAX(0,G131-F131+1)))</x:f>
      </x:c>
      <x:c r="I131" s="90"/>
      <x:c r="J131" s="90"/>
      <x:c r="K131" s="90"/>
      <x:c r="L131" s="96"/>
      <x:c r="M131" s="86" t="str">
        <x:f>IF(A131="","",IF(L131&lt;&gt;"",MAX(0,MIN(1,L131)),IF(AND(K131&lt;&gt;"",K131&gt;0,J131&lt;&gt;""),MAX(0,MIN(1,J131/K131)),IF(I131="",0,SUMIF('Lists &amp; Setup'!$A$4:$A$8,I131,'Lists &amp; Setup'!$B$4:$B$8)))))</x:f>
      </x:c>
      <x:c r="N131" s="86" t="str">
        <x:f>IF(A131="","",IF(OR(F131="",G131=""),0,IF(TODAY()&lt;F131,0,IF(TODAY()&gt;=G131,1,(TODAY()-F131+1)/MAX(1,G131-F131+1)))))</x:f>
      </x:c>
      <x:c r="O131" s="86" t="str">
        <x:f>IF(A131="","",M131-N131)</x:f>
      </x:c>
      <x:c r="P131" s="98"/>
      <x:c r="Q131" s="91"/>
      <x:c r="R131" s="88" t="str">
        <x:f>IF(A131="","",IF(M131&gt;=1,"Complete",IF(I131="Blocked","Blocked",IF(G131="","No Due Date",IF(G131&lt;TODAY(),"Overdue",IF(M131+0.1&lt;N131,"At Risk",IF(G131-TODAY()&lt;=7,"Due Soon","On Track")))))))</x:f>
      </x:c>
      <x:c r="S131" s="91"/>
    </x:row>
    <x:row r="132">
      <x:c r="A132" s="90"/>
      <x:c r="B132" s="90"/>
      <x:c r="C132" s="91"/>
      <x:c r="D132" s="90"/>
      <x:c r="E132" s="90"/>
      <x:c r="F132" s="92"/>
      <x:c r="G132" s="92"/>
      <x:c r="H132" s="84" t="str">
        <x:f>IF(A132="","",IF(OR(F132="",G132=""),"",MAX(0,G132-F132+1)))</x:f>
      </x:c>
      <x:c r="I132" s="90"/>
      <x:c r="J132" s="90"/>
      <x:c r="K132" s="90"/>
      <x:c r="L132" s="96"/>
      <x:c r="M132" s="86" t="str">
        <x:f>IF(A132="","",IF(L132&lt;&gt;"",MAX(0,MIN(1,L132)),IF(AND(K132&lt;&gt;"",K132&gt;0,J132&lt;&gt;""),MAX(0,MIN(1,J132/K132)),IF(I132="",0,SUMIF('Lists &amp; Setup'!$A$4:$A$8,I132,'Lists &amp; Setup'!$B$4:$B$8)))))</x:f>
      </x:c>
      <x:c r="N132" s="86" t="str">
        <x:f>IF(A132="","",IF(OR(F132="",G132=""),0,IF(TODAY()&lt;F132,0,IF(TODAY()&gt;=G132,1,(TODAY()-F132+1)/MAX(1,G132-F132+1)))))</x:f>
      </x:c>
      <x:c r="O132" s="86" t="str">
        <x:f>IF(A132="","",M132-N132)</x:f>
      </x:c>
      <x:c r="P132" s="98"/>
      <x:c r="Q132" s="91"/>
      <x:c r="R132" s="88" t="str">
        <x:f>IF(A132="","",IF(M132&gt;=1,"Complete",IF(I132="Blocked","Blocked",IF(G132="","No Due Date",IF(G132&lt;TODAY(),"Overdue",IF(M132+0.1&lt;N132,"At Risk",IF(G132-TODAY()&lt;=7,"Due Soon","On Track")))))))</x:f>
      </x:c>
      <x:c r="S132" s="91"/>
    </x:row>
    <x:row r="133">
      <x:c r="A133" s="90"/>
      <x:c r="B133" s="90"/>
      <x:c r="C133" s="91"/>
      <x:c r="D133" s="90"/>
      <x:c r="E133" s="90"/>
      <x:c r="F133" s="92"/>
      <x:c r="G133" s="92"/>
      <x:c r="H133" s="84" t="str">
        <x:f>IF(A133="","",IF(OR(F133="",G133=""),"",MAX(0,G133-F133+1)))</x:f>
      </x:c>
      <x:c r="I133" s="90"/>
      <x:c r="J133" s="90"/>
      <x:c r="K133" s="90"/>
      <x:c r="L133" s="96"/>
      <x:c r="M133" s="86" t="str">
        <x:f>IF(A133="","",IF(L133&lt;&gt;"",MAX(0,MIN(1,L133)),IF(AND(K133&lt;&gt;"",K133&gt;0,J133&lt;&gt;""),MAX(0,MIN(1,J133/K133)),IF(I133="",0,SUMIF('Lists &amp; Setup'!$A$4:$A$8,I133,'Lists &amp; Setup'!$B$4:$B$8)))))</x:f>
      </x:c>
      <x:c r="N133" s="86" t="str">
        <x:f>IF(A133="","",IF(OR(F133="",G133=""),0,IF(TODAY()&lt;F133,0,IF(TODAY()&gt;=G133,1,(TODAY()-F133+1)/MAX(1,G133-F133+1)))))</x:f>
      </x:c>
      <x:c r="O133" s="86" t="str">
        <x:f>IF(A133="","",M133-N133)</x:f>
      </x:c>
      <x:c r="P133" s="98"/>
      <x:c r="Q133" s="91"/>
      <x:c r="R133" s="88" t="str">
        <x:f>IF(A133="","",IF(M133&gt;=1,"Complete",IF(I133="Blocked","Blocked",IF(G133="","No Due Date",IF(G133&lt;TODAY(),"Overdue",IF(M133+0.1&lt;N133,"At Risk",IF(G133-TODAY()&lt;=7,"Due Soon","On Track")))))))</x:f>
      </x:c>
      <x:c r="S133" s="91"/>
    </x:row>
    <x:row r="134">
      <x:c r="A134" s="90"/>
      <x:c r="B134" s="90"/>
      <x:c r="C134" s="91"/>
      <x:c r="D134" s="90"/>
      <x:c r="E134" s="90"/>
      <x:c r="F134" s="92"/>
      <x:c r="G134" s="92"/>
      <x:c r="H134" s="84" t="str">
        <x:f>IF(A134="","",IF(OR(F134="",G134=""),"",MAX(0,G134-F134+1)))</x:f>
      </x:c>
      <x:c r="I134" s="90"/>
      <x:c r="J134" s="90"/>
      <x:c r="K134" s="90"/>
      <x:c r="L134" s="96"/>
      <x:c r="M134" s="86" t="str">
        <x:f>IF(A134="","",IF(L134&lt;&gt;"",MAX(0,MIN(1,L134)),IF(AND(K134&lt;&gt;"",K134&gt;0,J134&lt;&gt;""),MAX(0,MIN(1,J134/K134)),IF(I134="",0,SUMIF('Lists &amp; Setup'!$A$4:$A$8,I134,'Lists &amp; Setup'!$B$4:$B$8)))))</x:f>
      </x:c>
      <x:c r="N134" s="86" t="str">
        <x:f>IF(A134="","",IF(OR(F134="",G134=""),0,IF(TODAY()&lt;F134,0,IF(TODAY()&gt;=G134,1,(TODAY()-F134+1)/MAX(1,G134-F134+1)))))</x:f>
      </x:c>
      <x:c r="O134" s="86" t="str">
        <x:f>IF(A134="","",M134-N134)</x:f>
      </x:c>
      <x:c r="P134" s="98"/>
      <x:c r="Q134" s="91"/>
      <x:c r="R134" s="88" t="str">
        <x:f>IF(A134="","",IF(M134&gt;=1,"Complete",IF(I134="Blocked","Blocked",IF(G134="","No Due Date",IF(G134&lt;TODAY(),"Overdue",IF(M134+0.1&lt;N134,"At Risk",IF(G134-TODAY()&lt;=7,"Due Soon","On Track")))))))</x:f>
      </x:c>
      <x:c r="S134" s="91"/>
    </x:row>
    <x:row r="135">
      <x:c r="A135" s="90"/>
      <x:c r="B135" s="90"/>
      <x:c r="C135" s="91"/>
      <x:c r="D135" s="90"/>
      <x:c r="E135" s="90"/>
      <x:c r="F135" s="92"/>
      <x:c r="G135" s="92"/>
      <x:c r="H135" s="84" t="str">
        <x:f>IF(A135="","",IF(OR(F135="",G135=""),"",MAX(0,G135-F135+1)))</x:f>
      </x:c>
      <x:c r="I135" s="90"/>
      <x:c r="J135" s="90"/>
      <x:c r="K135" s="90"/>
      <x:c r="L135" s="96"/>
      <x:c r="M135" s="86" t="str">
        <x:f>IF(A135="","",IF(L135&lt;&gt;"",MAX(0,MIN(1,L135)),IF(AND(K135&lt;&gt;"",K135&gt;0,J135&lt;&gt;""),MAX(0,MIN(1,J135/K135)),IF(I135="",0,SUMIF('Lists &amp; Setup'!$A$4:$A$8,I135,'Lists &amp; Setup'!$B$4:$B$8)))))</x:f>
      </x:c>
      <x:c r="N135" s="86" t="str">
        <x:f>IF(A135="","",IF(OR(F135="",G135=""),0,IF(TODAY()&lt;F135,0,IF(TODAY()&gt;=G135,1,(TODAY()-F135+1)/MAX(1,G135-F135+1)))))</x:f>
      </x:c>
      <x:c r="O135" s="86" t="str">
        <x:f>IF(A135="","",M135-N135)</x:f>
      </x:c>
      <x:c r="P135" s="98"/>
      <x:c r="Q135" s="91"/>
      <x:c r="R135" s="88" t="str">
        <x:f>IF(A135="","",IF(M135&gt;=1,"Complete",IF(I135="Blocked","Blocked",IF(G135="","No Due Date",IF(G135&lt;TODAY(),"Overdue",IF(M135+0.1&lt;N135,"At Risk",IF(G135-TODAY()&lt;=7,"Due Soon","On Track")))))))</x:f>
      </x:c>
      <x:c r="S135" s="91"/>
    </x:row>
    <x:row r="136">
      <x:c r="A136" s="90"/>
      <x:c r="B136" s="90"/>
      <x:c r="C136" s="91"/>
      <x:c r="D136" s="90"/>
      <x:c r="E136" s="90"/>
      <x:c r="F136" s="92"/>
      <x:c r="G136" s="92"/>
      <x:c r="H136" s="84" t="str">
        <x:f>IF(A136="","",IF(OR(F136="",G136=""),"",MAX(0,G136-F136+1)))</x:f>
      </x:c>
      <x:c r="I136" s="90"/>
      <x:c r="J136" s="90"/>
      <x:c r="K136" s="90"/>
      <x:c r="L136" s="96"/>
      <x:c r="M136" s="86" t="str">
        <x:f>IF(A136="","",IF(L136&lt;&gt;"",MAX(0,MIN(1,L136)),IF(AND(K136&lt;&gt;"",K136&gt;0,J136&lt;&gt;""),MAX(0,MIN(1,J136/K136)),IF(I136="",0,SUMIF('Lists &amp; Setup'!$A$4:$A$8,I136,'Lists &amp; Setup'!$B$4:$B$8)))))</x:f>
      </x:c>
      <x:c r="N136" s="86" t="str">
        <x:f>IF(A136="","",IF(OR(F136="",G136=""),0,IF(TODAY()&lt;F136,0,IF(TODAY()&gt;=G136,1,(TODAY()-F136+1)/MAX(1,G136-F136+1)))))</x:f>
      </x:c>
      <x:c r="O136" s="86" t="str">
        <x:f>IF(A136="","",M136-N136)</x:f>
      </x:c>
      <x:c r="P136" s="98"/>
      <x:c r="Q136" s="91"/>
      <x:c r="R136" s="88" t="str">
        <x:f>IF(A136="","",IF(M136&gt;=1,"Complete",IF(I136="Blocked","Blocked",IF(G136="","No Due Date",IF(G136&lt;TODAY(),"Overdue",IF(M136+0.1&lt;N136,"At Risk",IF(G136-TODAY()&lt;=7,"Due Soon","On Track")))))))</x:f>
      </x:c>
      <x:c r="S136" s="91"/>
    </x:row>
    <x:row r="137">
      <x:c r="A137" s="90"/>
      <x:c r="B137" s="90"/>
      <x:c r="C137" s="91"/>
      <x:c r="D137" s="90"/>
      <x:c r="E137" s="90"/>
      <x:c r="F137" s="92"/>
      <x:c r="G137" s="92"/>
      <x:c r="H137" s="84" t="str">
        <x:f>IF(A137="","",IF(OR(F137="",G137=""),"",MAX(0,G137-F137+1)))</x:f>
      </x:c>
      <x:c r="I137" s="90"/>
      <x:c r="J137" s="90"/>
      <x:c r="K137" s="90"/>
      <x:c r="L137" s="96"/>
      <x:c r="M137" s="86" t="str">
        <x:f>IF(A137="","",IF(L137&lt;&gt;"",MAX(0,MIN(1,L137)),IF(AND(K137&lt;&gt;"",K137&gt;0,J137&lt;&gt;""),MAX(0,MIN(1,J137/K137)),IF(I137="",0,SUMIF('Lists &amp; Setup'!$A$4:$A$8,I137,'Lists &amp; Setup'!$B$4:$B$8)))))</x:f>
      </x:c>
      <x:c r="N137" s="86" t="str">
        <x:f>IF(A137="","",IF(OR(F137="",G137=""),0,IF(TODAY()&lt;F137,0,IF(TODAY()&gt;=G137,1,(TODAY()-F137+1)/MAX(1,G137-F137+1)))))</x:f>
      </x:c>
      <x:c r="O137" s="86" t="str">
        <x:f>IF(A137="","",M137-N137)</x:f>
      </x:c>
      <x:c r="P137" s="98"/>
      <x:c r="Q137" s="91"/>
      <x:c r="R137" s="88" t="str">
        <x:f>IF(A137="","",IF(M137&gt;=1,"Complete",IF(I137="Blocked","Blocked",IF(G137="","No Due Date",IF(G137&lt;TODAY(),"Overdue",IF(M137+0.1&lt;N137,"At Risk",IF(G137-TODAY()&lt;=7,"Due Soon","On Track")))))))</x:f>
      </x:c>
      <x:c r="S137" s="91"/>
    </x:row>
    <x:row r="138">
      <x:c r="A138" s="90"/>
      <x:c r="B138" s="90"/>
      <x:c r="C138" s="91"/>
      <x:c r="D138" s="90"/>
      <x:c r="E138" s="90"/>
      <x:c r="F138" s="92"/>
      <x:c r="G138" s="92"/>
      <x:c r="H138" s="84" t="str">
        <x:f>IF(A138="","",IF(OR(F138="",G138=""),"",MAX(0,G138-F138+1)))</x:f>
      </x:c>
      <x:c r="I138" s="90"/>
      <x:c r="J138" s="90"/>
      <x:c r="K138" s="90"/>
      <x:c r="L138" s="96"/>
      <x:c r="M138" s="86" t="str">
        <x:f>IF(A138="","",IF(L138&lt;&gt;"",MAX(0,MIN(1,L138)),IF(AND(K138&lt;&gt;"",K138&gt;0,J138&lt;&gt;""),MAX(0,MIN(1,J138/K138)),IF(I138="",0,SUMIF('Lists &amp; Setup'!$A$4:$A$8,I138,'Lists &amp; Setup'!$B$4:$B$8)))))</x:f>
      </x:c>
      <x:c r="N138" s="86" t="str">
        <x:f>IF(A138="","",IF(OR(F138="",G138=""),0,IF(TODAY()&lt;F138,0,IF(TODAY()&gt;=G138,1,(TODAY()-F138+1)/MAX(1,G138-F138+1)))))</x:f>
      </x:c>
      <x:c r="O138" s="86" t="str">
        <x:f>IF(A138="","",M138-N138)</x:f>
      </x:c>
      <x:c r="P138" s="98"/>
      <x:c r="Q138" s="91"/>
      <x:c r="R138" s="88" t="str">
        <x:f>IF(A138="","",IF(M138&gt;=1,"Complete",IF(I138="Blocked","Blocked",IF(G138="","No Due Date",IF(G138&lt;TODAY(),"Overdue",IF(M138+0.1&lt;N138,"At Risk",IF(G138-TODAY()&lt;=7,"Due Soon","On Track")))))))</x:f>
      </x:c>
      <x:c r="S138" s="91"/>
    </x:row>
    <x:row r="139">
      <x:c r="A139" s="90"/>
      <x:c r="B139" s="90"/>
      <x:c r="C139" s="91"/>
      <x:c r="D139" s="90"/>
      <x:c r="E139" s="90"/>
      <x:c r="F139" s="92"/>
      <x:c r="G139" s="92"/>
      <x:c r="H139" s="84" t="str">
        <x:f>IF(A139="","",IF(OR(F139="",G139=""),"",MAX(0,G139-F139+1)))</x:f>
      </x:c>
      <x:c r="I139" s="90"/>
      <x:c r="J139" s="90"/>
      <x:c r="K139" s="90"/>
      <x:c r="L139" s="96"/>
      <x:c r="M139" s="86" t="str">
        <x:f>IF(A139="","",IF(L139&lt;&gt;"",MAX(0,MIN(1,L139)),IF(AND(K139&lt;&gt;"",K139&gt;0,J139&lt;&gt;""),MAX(0,MIN(1,J139/K139)),IF(I139="",0,SUMIF('Lists &amp; Setup'!$A$4:$A$8,I139,'Lists &amp; Setup'!$B$4:$B$8)))))</x:f>
      </x:c>
      <x:c r="N139" s="86" t="str">
        <x:f>IF(A139="","",IF(OR(F139="",G139=""),0,IF(TODAY()&lt;F139,0,IF(TODAY()&gt;=G139,1,(TODAY()-F139+1)/MAX(1,G139-F139+1)))))</x:f>
      </x:c>
      <x:c r="O139" s="86" t="str">
        <x:f>IF(A139="","",M139-N139)</x:f>
      </x:c>
      <x:c r="P139" s="98"/>
      <x:c r="Q139" s="91"/>
      <x:c r="R139" s="88" t="str">
        <x:f>IF(A139="","",IF(M139&gt;=1,"Complete",IF(I139="Blocked","Blocked",IF(G139="","No Due Date",IF(G139&lt;TODAY(),"Overdue",IF(M139+0.1&lt;N139,"At Risk",IF(G139-TODAY()&lt;=7,"Due Soon","On Track")))))))</x:f>
      </x:c>
      <x:c r="S139" s="91"/>
    </x:row>
    <x:row r="140">
      <x:c r="A140" s="90"/>
      <x:c r="B140" s="90"/>
      <x:c r="C140" s="91"/>
      <x:c r="D140" s="90"/>
      <x:c r="E140" s="90"/>
      <x:c r="F140" s="92"/>
      <x:c r="G140" s="92"/>
      <x:c r="H140" s="84" t="str">
        <x:f>IF(A140="","",IF(OR(F140="",G140=""),"",MAX(0,G140-F140+1)))</x:f>
      </x:c>
      <x:c r="I140" s="90"/>
      <x:c r="J140" s="90"/>
      <x:c r="K140" s="90"/>
      <x:c r="L140" s="96"/>
      <x:c r="M140" s="86" t="str">
        <x:f>IF(A140="","",IF(L140&lt;&gt;"",MAX(0,MIN(1,L140)),IF(AND(K140&lt;&gt;"",K140&gt;0,J140&lt;&gt;""),MAX(0,MIN(1,J140/K140)),IF(I140="",0,SUMIF('Lists &amp; Setup'!$A$4:$A$8,I140,'Lists &amp; Setup'!$B$4:$B$8)))))</x:f>
      </x:c>
      <x:c r="N140" s="86" t="str">
        <x:f>IF(A140="","",IF(OR(F140="",G140=""),0,IF(TODAY()&lt;F140,0,IF(TODAY()&gt;=G140,1,(TODAY()-F140+1)/MAX(1,G140-F140+1)))))</x:f>
      </x:c>
      <x:c r="O140" s="86" t="str">
        <x:f>IF(A140="","",M140-N140)</x:f>
      </x:c>
      <x:c r="P140" s="98"/>
      <x:c r="Q140" s="91"/>
      <x:c r="R140" s="88" t="str">
        <x:f>IF(A140="","",IF(M140&gt;=1,"Complete",IF(I140="Blocked","Blocked",IF(G140="","No Due Date",IF(G140&lt;TODAY(),"Overdue",IF(M140+0.1&lt;N140,"At Risk",IF(G140-TODAY()&lt;=7,"Due Soon","On Track")))))))</x:f>
      </x:c>
      <x:c r="S140" s="91"/>
    </x:row>
    <x:row r="141">
      <x:c r="A141" s="90"/>
      <x:c r="B141" s="90"/>
      <x:c r="C141" s="91"/>
      <x:c r="D141" s="90"/>
      <x:c r="E141" s="90"/>
      <x:c r="F141" s="92"/>
      <x:c r="G141" s="92"/>
      <x:c r="H141" s="84" t="str">
        <x:f>IF(A141="","",IF(OR(F141="",G141=""),"",MAX(0,G141-F141+1)))</x:f>
      </x:c>
      <x:c r="I141" s="90"/>
      <x:c r="J141" s="90"/>
      <x:c r="K141" s="90"/>
      <x:c r="L141" s="96"/>
      <x:c r="M141" s="86" t="str">
        <x:f>IF(A141="","",IF(L141&lt;&gt;"",MAX(0,MIN(1,L141)),IF(AND(K141&lt;&gt;"",K141&gt;0,J141&lt;&gt;""),MAX(0,MIN(1,J141/K141)),IF(I141="",0,SUMIF('Lists &amp; Setup'!$A$4:$A$8,I141,'Lists &amp; Setup'!$B$4:$B$8)))))</x:f>
      </x:c>
      <x:c r="N141" s="86" t="str">
        <x:f>IF(A141="","",IF(OR(F141="",G141=""),0,IF(TODAY()&lt;F141,0,IF(TODAY()&gt;=G141,1,(TODAY()-F141+1)/MAX(1,G141-F141+1)))))</x:f>
      </x:c>
      <x:c r="O141" s="86" t="str">
        <x:f>IF(A141="","",M141-N141)</x:f>
      </x:c>
      <x:c r="P141" s="98"/>
      <x:c r="Q141" s="91"/>
      <x:c r="R141" s="88" t="str">
        <x:f>IF(A141="","",IF(M141&gt;=1,"Complete",IF(I141="Blocked","Blocked",IF(G141="","No Due Date",IF(G141&lt;TODAY(),"Overdue",IF(M141+0.1&lt;N141,"At Risk",IF(G141-TODAY()&lt;=7,"Due Soon","On Track")))))))</x:f>
      </x:c>
      <x:c r="S141" s="91"/>
    </x:row>
    <x:row r="142">
      <x:c r="A142" s="90"/>
      <x:c r="B142" s="90"/>
      <x:c r="C142" s="91"/>
      <x:c r="D142" s="90"/>
      <x:c r="E142" s="90"/>
      <x:c r="F142" s="92"/>
      <x:c r="G142" s="92"/>
      <x:c r="H142" s="84" t="str">
        <x:f>IF(A142="","",IF(OR(F142="",G142=""),"",MAX(0,G142-F142+1)))</x:f>
      </x:c>
      <x:c r="I142" s="90"/>
      <x:c r="J142" s="90"/>
      <x:c r="K142" s="90"/>
      <x:c r="L142" s="96"/>
      <x:c r="M142" s="86" t="str">
        <x:f>IF(A142="","",IF(L142&lt;&gt;"",MAX(0,MIN(1,L142)),IF(AND(K142&lt;&gt;"",K142&gt;0,J142&lt;&gt;""),MAX(0,MIN(1,J142/K142)),IF(I142="",0,SUMIF('Lists &amp; Setup'!$A$4:$A$8,I142,'Lists &amp; Setup'!$B$4:$B$8)))))</x:f>
      </x:c>
      <x:c r="N142" s="86" t="str">
        <x:f>IF(A142="","",IF(OR(F142="",G142=""),0,IF(TODAY()&lt;F142,0,IF(TODAY()&gt;=G142,1,(TODAY()-F142+1)/MAX(1,G142-F142+1)))))</x:f>
      </x:c>
      <x:c r="O142" s="86" t="str">
        <x:f>IF(A142="","",M142-N142)</x:f>
      </x:c>
      <x:c r="P142" s="98"/>
      <x:c r="Q142" s="91"/>
      <x:c r="R142" s="88" t="str">
        <x:f>IF(A142="","",IF(M142&gt;=1,"Complete",IF(I142="Blocked","Blocked",IF(G142="","No Due Date",IF(G142&lt;TODAY(),"Overdue",IF(M142+0.1&lt;N142,"At Risk",IF(G142-TODAY()&lt;=7,"Due Soon","On Track")))))))</x:f>
      </x:c>
      <x:c r="S142" s="91"/>
    </x:row>
    <x:row r="143">
      <x:c r="A143" s="90"/>
      <x:c r="B143" s="90"/>
      <x:c r="C143" s="91"/>
      <x:c r="D143" s="90"/>
      <x:c r="E143" s="90"/>
      <x:c r="F143" s="92"/>
      <x:c r="G143" s="92"/>
      <x:c r="H143" s="84" t="str">
        <x:f>IF(A143="","",IF(OR(F143="",G143=""),"",MAX(0,G143-F143+1)))</x:f>
      </x:c>
      <x:c r="I143" s="90"/>
      <x:c r="J143" s="90"/>
      <x:c r="K143" s="90"/>
      <x:c r="L143" s="96"/>
      <x:c r="M143" s="86" t="str">
        <x:f>IF(A143="","",IF(L143&lt;&gt;"",MAX(0,MIN(1,L143)),IF(AND(K143&lt;&gt;"",K143&gt;0,J143&lt;&gt;""),MAX(0,MIN(1,J143/K143)),IF(I143="",0,SUMIF('Lists &amp; Setup'!$A$4:$A$8,I143,'Lists &amp; Setup'!$B$4:$B$8)))))</x:f>
      </x:c>
      <x:c r="N143" s="86" t="str">
        <x:f>IF(A143="","",IF(OR(F143="",G143=""),0,IF(TODAY()&lt;F143,0,IF(TODAY()&gt;=G143,1,(TODAY()-F143+1)/MAX(1,G143-F143+1)))))</x:f>
      </x:c>
      <x:c r="O143" s="86" t="str">
        <x:f>IF(A143="","",M143-N143)</x:f>
      </x:c>
      <x:c r="P143" s="98"/>
      <x:c r="Q143" s="91"/>
      <x:c r="R143" s="88" t="str">
        <x:f>IF(A143="","",IF(M143&gt;=1,"Complete",IF(I143="Blocked","Blocked",IF(G143="","No Due Date",IF(G143&lt;TODAY(),"Overdue",IF(M143+0.1&lt;N143,"At Risk",IF(G143-TODAY()&lt;=7,"Due Soon","On Track")))))))</x:f>
      </x:c>
      <x:c r="S143" s="91"/>
    </x:row>
    <x:row r="144">
      <x:c r="A144" s="90"/>
      <x:c r="B144" s="90"/>
      <x:c r="C144" s="91"/>
      <x:c r="D144" s="90"/>
      <x:c r="E144" s="90"/>
      <x:c r="F144" s="92"/>
      <x:c r="G144" s="92"/>
      <x:c r="H144" s="84" t="str">
        <x:f>IF(A144="","",IF(OR(F144="",G144=""),"",MAX(0,G144-F144+1)))</x:f>
      </x:c>
      <x:c r="I144" s="90"/>
      <x:c r="J144" s="90"/>
      <x:c r="K144" s="90"/>
      <x:c r="L144" s="96"/>
      <x:c r="M144" s="86" t="str">
        <x:f>IF(A144="","",IF(L144&lt;&gt;"",MAX(0,MIN(1,L144)),IF(AND(K144&lt;&gt;"",K144&gt;0,J144&lt;&gt;""),MAX(0,MIN(1,J144/K144)),IF(I144="",0,SUMIF('Lists &amp; Setup'!$A$4:$A$8,I144,'Lists &amp; Setup'!$B$4:$B$8)))))</x:f>
      </x:c>
      <x:c r="N144" s="86" t="str">
        <x:f>IF(A144="","",IF(OR(F144="",G144=""),0,IF(TODAY()&lt;F144,0,IF(TODAY()&gt;=G144,1,(TODAY()-F144+1)/MAX(1,G144-F144+1)))))</x:f>
      </x:c>
      <x:c r="O144" s="86" t="str">
        <x:f>IF(A144="","",M144-N144)</x:f>
      </x:c>
      <x:c r="P144" s="98"/>
      <x:c r="Q144" s="91"/>
      <x:c r="R144" s="88" t="str">
        <x:f>IF(A144="","",IF(M144&gt;=1,"Complete",IF(I144="Blocked","Blocked",IF(G144="","No Due Date",IF(G144&lt;TODAY(),"Overdue",IF(M144+0.1&lt;N144,"At Risk",IF(G144-TODAY()&lt;=7,"Due Soon","On Track")))))))</x:f>
      </x:c>
      <x:c r="S144" s="91"/>
    </x:row>
    <x:row r="145">
      <x:c r="A145" s="90"/>
      <x:c r="B145" s="90"/>
      <x:c r="C145" s="91"/>
      <x:c r="D145" s="90"/>
      <x:c r="E145" s="90"/>
      <x:c r="F145" s="92"/>
      <x:c r="G145" s="92"/>
      <x:c r="H145" s="84" t="str">
        <x:f>IF(A145="","",IF(OR(F145="",G145=""),"",MAX(0,G145-F145+1)))</x:f>
      </x:c>
      <x:c r="I145" s="90"/>
      <x:c r="J145" s="90"/>
      <x:c r="K145" s="90"/>
      <x:c r="L145" s="96"/>
      <x:c r="M145" s="86" t="str">
        <x:f>IF(A145="","",IF(L145&lt;&gt;"",MAX(0,MIN(1,L145)),IF(AND(K145&lt;&gt;"",K145&gt;0,J145&lt;&gt;""),MAX(0,MIN(1,J145/K145)),IF(I145="",0,SUMIF('Lists &amp; Setup'!$A$4:$A$8,I145,'Lists &amp; Setup'!$B$4:$B$8)))))</x:f>
      </x:c>
      <x:c r="N145" s="86" t="str">
        <x:f>IF(A145="","",IF(OR(F145="",G145=""),0,IF(TODAY()&lt;F145,0,IF(TODAY()&gt;=G145,1,(TODAY()-F145+1)/MAX(1,G145-F145+1)))))</x:f>
      </x:c>
      <x:c r="O145" s="86" t="str">
        <x:f>IF(A145="","",M145-N145)</x:f>
      </x:c>
      <x:c r="P145" s="98"/>
      <x:c r="Q145" s="91"/>
      <x:c r="R145" s="88" t="str">
        <x:f>IF(A145="","",IF(M145&gt;=1,"Complete",IF(I145="Blocked","Blocked",IF(G145="","No Due Date",IF(G145&lt;TODAY(),"Overdue",IF(M145+0.1&lt;N145,"At Risk",IF(G145-TODAY()&lt;=7,"Due Soon","On Track")))))))</x:f>
      </x:c>
      <x:c r="S145" s="91"/>
    </x:row>
    <x:row r="146">
      <x:c r="A146" s="90"/>
      <x:c r="B146" s="90"/>
      <x:c r="C146" s="91"/>
      <x:c r="D146" s="90"/>
      <x:c r="E146" s="90"/>
      <x:c r="F146" s="92"/>
      <x:c r="G146" s="92"/>
      <x:c r="H146" s="84" t="str">
        <x:f>IF(A146="","",IF(OR(F146="",G146=""),"",MAX(0,G146-F146+1)))</x:f>
      </x:c>
      <x:c r="I146" s="90"/>
      <x:c r="J146" s="90"/>
      <x:c r="K146" s="90"/>
      <x:c r="L146" s="96"/>
      <x:c r="M146" s="86" t="str">
        <x:f>IF(A146="","",IF(L146&lt;&gt;"",MAX(0,MIN(1,L146)),IF(AND(K146&lt;&gt;"",K146&gt;0,J146&lt;&gt;""),MAX(0,MIN(1,J146/K146)),IF(I146="",0,SUMIF('Lists &amp; Setup'!$A$4:$A$8,I146,'Lists &amp; Setup'!$B$4:$B$8)))))</x:f>
      </x:c>
      <x:c r="N146" s="86" t="str">
        <x:f>IF(A146="","",IF(OR(F146="",G146=""),0,IF(TODAY()&lt;F146,0,IF(TODAY()&gt;=G146,1,(TODAY()-F146+1)/MAX(1,G146-F146+1)))))</x:f>
      </x:c>
      <x:c r="O146" s="86" t="str">
        <x:f>IF(A146="","",M146-N146)</x:f>
      </x:c>
      <x:c r="P146" s="98"/>
      <x:c r="Q146" s="91"/>
      <x:c r="R146" s="88" t="str">
        <x:f>IF(A146="","",IF(M146&gt;=1,"Complete",IF(I146="Blocked","Blocked",IF(G146="","No Due Date",IF(G146&lt;TODAY(),"Overdue",IF(M146+0.1&lt;N146,"At Risk",IF(G146-TODAY()&lt;=7,"Due Soon","On Track")))))))</x:f>
      </x:c>
      <x:c r="S146" s="91"/>
    </x:row>
    <x:row r="147">
      <x:c r="A147" s="90"/>
      <x:c r="B147" s="90"/>
      <x:c r="C147" s="91"/>
      <x:c r="D147" s="90"/>
      <x:c r="E147" s="90"/>
      <x:c r="F147" s="92"/>
      <x:c r="G147" s="92"/>
      <x:c r="H147" s="84" t="str">
        <x:f>IF(A147="","",IF(OR(F147="",G147=""),"",MAX(0,G147-F147+1)))</x:f>
      </x:c>
      <x:c r="I147" s="90"/>
      <x:c r="J147" s="90"/>
      <x:c r="K147" s="90"/>
      <x:c r="L147" s="96"/>
      <x:c r="M147" s="86" t="str">
        <x:f>IF(A147="","",IF(L147&lt;&gt;"",MAX(0,MIN(1,L147)),IF(AND(K147&lt;&gt;"",K147&gt;0,J147&lt;&gt;""),MAX(0,MIN(1,J147/K147)),IF(I147="",0,SUMIF('Lists &amp; Setup'!$A$4:$A$8,I147,'Lists &amp; Setup'!$B$4:$B$8)))))</x:f>
      </x:c>
      <x:c r="N147" s="86" t="str">
        <x:f>IF(A147="","",IF(OR(F147="",G147=""),0,IF(TODAY()&lt;F147,0,IF(TODAY()&gt;=G147,1,(TODAY()-F147+1)/MAX(1,G147-F147+1)))))</x:f>
      </x:c>
      <x:c r="O147" s="86" t="str">
        <x:f>IF(A147="","",M147-N147)</x:f>
      </x:c>
      <x:c r="P147" s="98"/>
      <x:c r="Q147" s="91"/>
      <x:c r="R147" s="88" t="str">
        <x:f>IF(A147="","",IF(M147&gt;=1,"Complete",IF(I147="Blocked","Blocked",IF(G147="","No Due Date",IF(G147&lt;TODAY(),"Overdue",IF(M147+0.1&lt;N147,"At Risk",IF(G147-TODAY()&lt;=7,"Due Soon","On Track")))))))</x:f>
      </x:c>
      <x:c r="S147" s="91"/>
    </x:row>
    <x:row r="148">
      <x:c r="A148" s="90"/>
      <x:c r="B148" s="90"/>
      <x:c r="C148" s="91"/>
      <x:c r="D148" s="90"/>
      <x:c r="E148" s="90"/>
      <x:c r="F148" s="92"/>
      <x:c r="G148" s="92"/>
      <x:c r="H148" s="84" t="str">
        <x:f>IF(A148="","",IF(OR(F148="",G148=""),"",MAX(0,G148-F148+1)))</x:f>
      </x:c>
      <x:c r="I148" s="90"/>
      <x:c r="J148" s="90"/>
      <x:c r="K148" s="90"/>
      <x:c r="L148" s="96"/>
      <x:c r="M148" s="86" t="str">
        <x:f>IF(A148="","",IF(L148&lt;&gt;"",MAX(0,MIN(1,L148)),IF(AND(K148&lt;&gt;"",K148&gt;0,J148&lt;&gt;""),MAX(0,MIN(1,J148/K148)),IF(I148="",0,SUMIF('Lists &amp; Setup'!$A$4:$A$8,I148,'Lists &amp; Setup'!$B$4:$B$8)))))</x:f>
      </x:c>
      <x:c r="N148" s="86" t="str">
        <x:f>IF(A148="","",IF(OR(F148="",G148=""),0,IF(TODAY()&lt;F148,0,IF(TODAY()&gt;=G148,1,(TODAY()-F148+1)/MAX(1,G148-F148+1)))))</x:f>
      </x:c>
      <x:c r="O148" s="86" t="str">
        <x:f>IF(A148="","",M148-N148)</x:f>
      </x:c>
      <x:c r="P148" s="98"/>
      <x:c r="Q148" s="91"/>
      <x:c r="R148" s="88" t="str">
        <x:f>IF(A148="","",IF(M148&gt;=1,"Complete",IF(I148="Blocked","Blocked",IF(G148="","No Due Date",IF(G148&lt;TODAY(),"Overdue",IF(M148+0.1&lt;N148,"At Risk",IF(G148-TODAY()&lt;=7,"Due Soon","On Track")))))))</x:f>
      </x:c>
      <x:c r="S148" s="91"/>
    </x:row>
    <x:row r="149">
      <x:c r="A149" s="90"/>
      <x:c r="B149" s="90"/>
      <x:c r="C149" s="91"/>
      <x:c r="D149" s="90"/>
      <x:c r="E149" s="90"/>
      <x:c r="F149" s="92"/>
      <x:c r="G149" s="92"/>
      <x:c r="H149" s="84" t="str">
        <x:f>IF(A149="","",IF(OR(F149="",G149=""),"",MAX(0,G149-F149+1)))</x:f>
      </x:c>
      <x:c r="I149" s="90"/>
      <x:c r="J149" s="90"/>
      <x:c r="K149" s="90"/>
      <x:c r="L149" s="96"/>
      <x:c r="M149" s="86" t="str">
        <x:f>IF(A149="","",IF(L149&lt;&gt;"",MAX(0,MIN(1,L149)),IF(AND(K149&lt;&gt;"",K149&gt;0,J149&lt;&gt;""),MAX(0,MIN(1,J149/K149)),IF(I149="",0,SUMIF('Lists &amp; Setup'!$A$4:$A$8,I149,'Lists &amp; Setup'!$B$4:$B$8)))))</x:f>
      </x:c>
      <x:c r="N149" s="86" t="str">
        <x:f>IF(A149="","",IF(OR(F149="",G149=""),0,IF(TODAY()&lt;F149,0,IF(TODAY()&gt;=G149,1,(TODAY()-F149+1)/MAX(1,G149-F149+1)))))</x:f>
      </x:c>
      <x:c r="O149" s="86" t="str">
        <x:f>IF(A149="","",M149-N149)</x:f>
      </x:c>
      <x:c r="P149" s="98"/>
      <x:c r="Q149" s="91"/>
      <x:c r="R149" s="88" t="str">
        <x:f>IF(A149="","",IF(M149&gt;=1,"Complete",IF(I149="Blocked","Blocked",IF(G149="","No Due Date",IF(G149&lt;TODAY(),"Overdue",IF(M149+0.1&lt;N149,"At Risk",IF(G149-TODAY()&lt;=7,"Due Soon","On Track")))))))</x:f>
      </x:c>
      <x:c r="S149" s="91"/>
    </x:row>
    <x:row r="150">
      <x:c r="A150" s="90"/>
      <x:c r="B150" s="90"/>
      <x:c r="C150" s="91"/>
      <x:c r="D150" s="90"/>
      <x:c r="E150" s="90"/>
      <x:c r="F150" s="92"/>
      <x:c r="G150" s="92"/>
      <x:c r="H150" s="84" t="str">
        <x:f>IF(A150="","",IF(OR(F150="",G150=""),"",MAX(0,G150-F150+1)))</x:f>
      </x:c>
      <x:c r="I150" s="90"/>
      <x:c r="J150" s="90"/>
      <x:c r="K150" s="90"/>
      <x:c r="L150" s="96"/>
      <x:c r="M150" s="86" t="str">
        <x:f>IF(A150="","",IF(L150&lt;&gt;"",MAX(0,MIN(1,L150)),IF(AND(K150&lt;&gt;"",K150&gt;0,J150&lt;&gt;""),MAX(0,MIN(1,J150/K150)),IF(I150="",0,SUMIF('Lists &amp; Setup'!$A$4:$A$8,I150,'Lists &amp; Setup'!$B$4:$B$8)))))</x:f>
      </x:c>
      <x:c r="N150" s="86" t="str">
        <x:f>IF(A150="","",IF(OR(F150="",G150=""),0,IF(TODAY()&lt;F150,0,IF(TODAY()&gt;=G150,1,(TODAY()-F150+1)/MAX(1,G150-F150+1)))))</x:f>
      </x:c>
      <x:c r="O150" s="86" t="str">
        <x:f>IF(A150="","",M150-N150)</x:f>
      </x:c>
      <x:c r="P150" s="98"/>
      <x:c r="Q150" s="91"/>
      <x:c r="R150" s="88" t="str">
        <x:f>IF(A150="","",IF(M150&gt;=1,"Complete",IF(I150="Blocked","Blocked",IF(G150="","No Due Date",IF(G150&lt;TODAY(),"Overdue",IF(M150+0.1&lt;N150,"At Risk",IF(G150-TODAY()&lt;=7,"Due Soon","On Track")))))))</x:f>
      </x:c>
      <x:c r="S150" s="91"/>
    </x:row>
    <x:row r="151">
      <x:c r="A151" s="90"/>
      <x:c r="B151" s="90"/>
      <x:c r="C151" s="91"/>
      <x:c r="D151" s="90"/>
      <x:c r="E151" s="90"/>
      <x:c r="F151" s="92"/>
      <x:c r="G151" s="92"/>
      <x:c r="H151" s="84" t="str">
        <x:f>IF(A151="","",IF(OR(F151="",G151=""),"",MAX(0,G151-F151+1)))</x:f>
      </x:c>
      <x:c r="I151" s="90"/>
      <x:c r="J151" s="90"/>
      <x:c r="K151" s="90"/>
      <x:c r="L151" s="96"/>
      <x:c r="M151" s="86" t="str">
        <x:f>IF(A151="","",IF(L151&lt;&gt;"",MAX(0,MIN(1,L151)),IF(AND(K151&lt;&gt;"",K151&gt;0,J151&lt;&gt;""),MAX(0,MIN(1,J151/K151)),IF(I151="",0,SUMIF('Lists &amp; Setup'!$A$4:$A$8,I151,'Lists &amp; Setup'!$B$4:$B$8)))))</x:f>
      </x:c>
      <x:c r="N151" s="86" t="str">
        <x:f>IF(A151="","",IF(OR(F151="",G151=""),0,IF(TODAY()&lt;F151,0,IF(TODAY()&gt;=G151,1,(TODAY()-F151+1)/MAX(1,G151-F151+1)))))</x:f>
      </x:c>
      <x:c r="O151" s="86" t="str">
        <x:f>IF(A151="","",M151-N151)</x:f>
      </x:c>
      <x:c r="P151" s="98"/>
      <x:c r="Q151" s="91"/>
      <x:c r="R151" s="88" t="str">
        <x:f>IF(A151="","",IF(M151&gt;=1,"Complete",IF(I151="Blocked","Blocked",IF(G151="","No Due Date",IF(G151&lt;TODAY(),"Overdue",IF(M151+0.1&lt;N151,"At Risk",IF(G151-TODAY()&lt;=7,"Due Soon","On Track")))))))</x:f>
      </x:c>
      <x:c r="S151" s="91"/>
    </x:row>
    <x:row r="152">
      <x:c r="A152" s="90"/>
      <x:c r="B152" s="90"/>
      <x:c r="C152" s="91"/>
      <x:c r="D152" s="90"/>
      <x:c r="E152" s="90"/>
      <x:c r="F152" s="92"/>
      <x:c r="G152" s="92"/>
      <x:c r="H152" s="84" t="str">
        <x:f>IF(A152="","",IF(OR(F152="",G152=""),"",MAX(0,G152-F152+1)))</x:f>
      </x:c>
      <x:c r="I152" s="90"/>
      <x:c r="J152" s="90"/>
      <x:c r="K152" s="90"/>
      <x:c r="L152" s="96"/>
      <x:c r="M152" s="86" t="str">
        <x:f>IF(A152="","",IF(L152&lt;&gt;"",MAX(0,MIN(1,L152)),IF(AND(K152&lt;&gt;"",K152&gt;0,J152&lt;&gt;""),MAX(0,MIN(1,J152/K152)),IF(I152="",0,SUMIF('Lists &amp; Setup'!$A$4:$A$8,I152,'Lists &amp; Setup'!$B$4:$B$8)))))</x:f>
      </x:c>
      <x:c r="N152" s="86" t="str">
        <x:f>IF(A152="","",IF(OR(F152="",G152=""),0,IF(TODAY()&lt;F152,0,IF(TODAY()&gt;=G152,1,(TODAY()-F152+1)/MAX(1,G152-F152+1)))))</x:f>
      </x:c>
      <x:c r="O152" s="86" t="str">
        <x:f>IF(A152="","",M152-N152)</x:f>
      </x:c>
      <x:c r="P152" s="98"/>
      <x:c r="Q152" s="91"/>
      <x:c r="R152" s="88" t="str">
        <x:f>IF(A152="","",IF(M152&gt;=1,"Complete",IF(I152="Blocked","Blocked",IF(G152="","No Due Date",IF(G152&lt;TODAY(),"Overdue",IF(M152+0.1&lt;N152,"At Risk",IF(G152-TODAY()&lt;=7,"Due Soon","On Track")))))))</x:f>
      </x:c>
      <x:c r="S152" s="91"/>
    </x:row>
    <x:row r="153">
      <x:c r="A153" s="90"/>
      <x:c r="B153" s="90"/>
      <x:c r="C153" s="91"/>
      <x:c r="D153" s="90"/>
      <x:c r="E153" s="90"/>
      <x:c r="F153" s="92"/>
      <x:c r="G153" s="92"/>
      <x:c r="H153" s="84" t="str">
        <x:f>IF(A153="","",IF(OR(F153="",G153=""),"",MAX(0,G153-F153+1)))</x:f>
      </x:c>
      <x:c r="I153" s="90"/>
      <x:c r="J153" s="90"/>
      <x:c r="K153" s="90"/>
      <x:c r="L153" s="96"/>
      <x:c r="M153" s="86" t="str">
        <x:f>IF(A153="","",IF(L153&lt;&gt;"",MAX(0,MIN(1,L153)),IF(AND(K153&lt;&gt;"",K153&gt;0,J153&lt;&gt;""),MAX(0,MIN(1,J153/K153)),IF(I153="",0,SUMIF('Lists &amp; Setup'!$A$4:$A$8,I153,'Lists &amp; Setup'!$B$4:$B$8)))))</x:f>
      </x:c>
      <x:c r="N153" s="86" t="str">
        <x:f>IF(A153="","",IF(OR(F153="",G153=""),0,IF(TODAY()&lt;F153,0,IF(TODAY()&gt;=G153,1,(TODAY()-F153+1)/MAX(1,G153-F153+1)))))</x:f>
      </x:c>
      <x:c r="O153" s="86" t="str">
        <x:f>IF(A153="","",M153-N153)</x:f>
      </x:c>
      <x:c r="P153" s="98"/>
      <x:c r="Q153" s="91"/>
      <x:c r="R153" s="88" t="str">
        <x:f>IF(A153="","",IF(M153&gt;=1,"Complete",IF(I153="Blocked","Blocked",IF(G153="","No Due Date",IF(G153&lt;TODAY(),"Overdue",IF(M153+0.1&lt;N153,"At Risk",IF(G153-TODAY()&lt;=7,"Due Soon","On Track")))))))</x:f>
      </x:c>
      <x:c r="S153" s="91"/>
    </x:row>
    <x:row r="154">
      <x:c r="A154" s="90"/>
      <x:c r="B154" s="90"/>
      <x:c r="C154" s="91"/>
      <x:c r="D154" s="90"/>
      <x:c r="E154" s="90"/>
      <x:c r="F154" s="92"/>
      <x:c r="G154" s="92"/>
      <x:c r="H154" s="84" t="str">
        <x:f>IF(A154="","",IF(OR(F154="",G154=""),"",MAX(0,G154-F154+1)))</x:f>
      </x:c>
      <x:c r="I154" s="90"/>
      <x:c r="J154" s="90"/>
      <x:c r="K154" s="90"/>
      <x:c r="L154" s="96"/>
      <x:c r="M154" s="86" t="str">
        <x:f>IF(A154="","",IF(L154&lt;&gt;"",MAX(0,MIN(1,L154)),IF(AND(K154&lt;&gt;"",K154&gt;0,J154&lt;&gt;""),MAX(0,MIN(1,J154/K154)),IF(I154="",0,SUMIF('Lists &amp; Setup'!$A$4:$A$8,I154,'Lists &amp; Setup'!$B$4:$B$8)))))</x:f>
      </x:c>
      <x:c r="N154" s="86" t="str">
        <x:f>IF(A154="","",IF(OR(F154="",G154=""),0,IF(TODAY()&lt;F154,0,IF(TODAY()&gt;=G154,1,(TODAY()-F154+1)/MAX(1,G154-F154+1)))))</x:f>
      </x:c>
      <x:c r="O154" s="86" t="str">
        <x:f>IF(A154="","",M154-N154)</x:f>
      </x:c>
      <x:c r="P154" s="98"/>
      <x:c r="Q154" s="91"/>
      <x:c r="R154" s="88" t="str">
        <x:f>IF(A154="","",IF(M154&gt;=1,"Complete",IF(I154="Blocked","Blocked",IF(G154="","No Due Date",IF(G154&lt;TODAY(),"Overdue",IF(M154+0.1&lt;N154,"At Risk",IF(G154-TODAY()&lt;=7,"Due Soon","On Track")))))))</x:f>
      </x:c>
      <x:c r="S154" s="91"/>
    </x:row>
    <x:row r="155">
      <x:c r="A155" s="90"/>
      <x:c r="B155" s="90"/>
      <x:c r="C155" s="91"/>
      <x:c r="D155" s="90"/>
      <x:c r="E155" s="90"/>
      <x:c r="F155" s="92"/>
      <x:c r="G155" s="92"/>
      <x:c r="H155" s="84" t="str">
        <x:f>IF(A155="","",IF(OR(F155="",G155=""),"",MAX(0,G155-F155+1)))</x:f>
      </x:c>
      <x:c r="I155" s="90"/>
      <x:c r="J155" s="90"/>
      <x:c r="K155" s="90"/>
      <x:c r="L155" s="96"/>
      <x:c r="M155" s="86" t="str">
        <x:f>IF(A155="","",IF(L155&lt;&gt;"",MAX(0,MIN(1,L155)),IF(AND(K155&lt;&gt;"",K155&gt;0,J155&lt;&gt;""),MAX(0,MIN(1,J155/K155)),IF(I155="",0,SUMIF('Lists &amp; Setup'!$A$4:$A$8,I155,'Lists &amp; Setup'!$B$4:$B$8)))))</x:f>
      </x:c>
      <x:c r="N155" s="86" t="str">
        <x:f>IF(A155="","",IF(OR(F155="",G155=""),0,IF(TODAY()&lt;F155,0,IF(TODAY()&gt;=G155,1,(TODAY()-F155+1)/MAX(1,G155-F155+1)))))</x:f>
      </x:c>
      <x:c r="O155" s="86" t="str">
        <x:f>IF(A155="","",M155-N155)</x:f>
      </x:c>
      <x:c r="P155" s="98"/>
      <x:c r="Q155" s="91"/>
      <x:c r="R155" s="88" t="str">
        <x:f>IF(A155="","",IF(M155&gt;=1,"Complete",IF(I155="Blocked","Blocked",IF(G155="","No Due Date",IF(G155&lt;TODAY(),"Overdue",IF(M155+0.1&lt;N155,"At Risk",IF(G155-TODAY()&lt;=7,"Due Soon","On Track")))))))</x:f>
      </x:c>
      <x:c r="S155" s="91"/>
    </x:row>
    <x:row r="156">
      <x:c r="A156" s="90"/>
      <x:c r="B156" s="90"/>
      <x:c r="C156" s="91"/>
      <x:c r="D156" s="90"/>
      <x:c r="E156" s="90"/>
      <x:c r="F156" s="92"/>
      <x:c r="G156" s="92"/>
      <x:c r="H156" s="84" t="str">
        <x:f>IF(A156="","",IF(OR(F156="",G156=""),"",MAX(0,G156-F156+1)))</x:f>
      </x:c>
      <x:c r="I156" s="90"/>
      <x:c r="J156" s="90"/>
      <x:c r="K156" s="90"/>
      <x:c r="L156" s="96"/>
      <x:c r="M156" s="86" t="str">
        <x:f>IF(A156="","",IF(L156&lt;&gt;"",MAX(0,MIN(1,L156)),IF(AND(K156&lt;&gt;"",K156&gt;0,J156&lt;&gt;""),MAX(0,MIN(1,J156/K156)),IF(I156="",0,SUMIF('Lists &amp; Setup'!$A$4:$A$8,I156,'Lists &amp; Setup'!$B$4:$B$8)))))</x:f>
      </x:c>
      <x:c r="N156" s="86" t="str">
        <x:f>IF(A156="","",IF(OR(F156="",G156=""),0,IF(TODAY()&lt;F156,0,IF(TODAY()&gt;=G156,1,(TODAY()-F156+1)/MAX(1,G156-F156+1)))))</x:f>
      </x:c>
      <x:c r="O156" s="86" t="str">
        <x:f>IF(A156="","",M156-N156)</x:f>
      </x:c>
      <x:c r="P156" s="98"/>
      <x:c r="Q156" s="91"/>
      <x:c r="R156" s="88" t="str">
        <x:f>IF(A156="","",IF(M156&gt;=1,"Complete",IF(I156="Blocked","Blocked",IF(G156="","No Due Date",IF(G156&lt;TODAY(),"Overdue",IF(M156+0.1&lt;N156,"At Risk",IF(G156-TODAY()&lt;=7,"Due Soon","On Track")))))))</x:f>
      </x:c>
      <x:c r="S156" s="91"/>
    </x:row>
    <x:row r="157">
      <x:c r="A157" s="90"/>
      <x:c r="B157" s="90"/>
      <x:c r="C157" s="91"/>
      <x:c r="D157" s="90"/>
      <x:c r="E157" s="90"/>
      <x:c r="F157" s="92"/>
      <x:c r="G157" s="92"/>
      <x:c r="H157" s="84" t="str">
        <x:f>IF(A157="","",IF(OR(F157="",G157=""),"",MAX(0,G157-F157+1)))</x:f>
      </x:c>
      <x:c r="I157" s="90"/>
      <x:c r="J157" s="90"/>
      <x:c r="K157" s="90"/>
      <x:c r="L157" s="96"/>
      <x:c r="M157" s="86" t="str">
        <x:f>IF(A157="","",IF(L157&lt;&gt;"",MAX(0,MIN(1,L157)),IF(AND(K157&lt;&gt;"",K157&gt;0,J157&lt;&gt;""),MAX(0,MIN(1,J157/K157)),IF(I157="",0,SUMIF('Lists &amp; Setup'!$A$4:$A$8,I157,'Lists &amp; Setup'!$B$4:$B$8)))))</x:f>
      </x:c>
      <x:c r="N157" s="86" t="str">
        <x:f>IF(A157="","",IF(OR(F157="",G157=""),0,IF(TODAY()&lt;F157,0,IF(TODAY()&gt;=G157,1,(TODAY()-F157+1)/MAX(1,G157-F157+1)))))</x:f>
      </x:c>
      <x:c r="O157" s="86" t="str">
        <x:f>IF(A157="","",M157-N157)</x:f>
      </x:c>
      <x:c r="P157" s="98"/>
      <x:c r="Q157" s="91"/>
      <x:c r="R157" s="88" t="str">
        <x:f>IF(A157="","",IF(M157&gt;=1,"Complete",IF(I157="Blocked","Blocked",IF(G157="","No Due Date",IF(G157&lt;TODAY(),"Overdue",IF(M157+0.1&lt;N157,"At Risk",IF(G157-TODAY()&lt;=7,"Due Soon","On Track")))))))</x:f>
      </x:c>
      <x:c r="S157" s="91"/>
    </x:row>
    <x:row r="158">
      <x:c r="A158" s="90"/>
      <x:c r="B158" s="90"/>
      <x:c r="C158" s="91"/>
      <x:c r="D158" s="90"/>
      <x:c r="E158" s="90"/>
      <x:c r="F158" s="92"/>
      <x:c r="G158" s="92"/>
      <x:c r="H158" s="84" t="str">
        <x:f>IF(A158="","",IF(OR(F158="",G158=""),"",MAX(0,G158-F158+1)))</x:f>
      </x:c>
      <x:c r="I158" s="90"/>
      <x:c r="J158" s="90"/>
      <x:c r="K158" s="90"/>
      <x:c r="L158" s="96"/>
      <x:c r="M158" s="86" t="str">
        <x:f>IF(A158="","",IF(L158&lt;&gt;"",MAX(0,MIN(1,L158)),IF(AND(K158&lt;&gt;"",K158&gt;0,J158&lt;&gt;""),MAX(0,MIN(1,J158/K158)),IF(I158="",0,SUMIF('Lists &amp; Setup'!$A$4:$A$8,I158,'Lists &amp; Setup'!$B$4:$B$8)))))</x:f>
      </x:c>
      <x:c r="N158" s="86" t="str">
        <x:f>IF(A158="","",IF(OR(F158="",G158=""),0,IF(TODAY()&lt;F158,0,IF(TODAY()&gt;=G158,1,(TODAY()-F158+1)/MAX(1,G158-F158+1)))))</x:f>
      </x:c>
      <x:c r="O158" s="86" t="str">
        <x:f>IF(A158="","",M158-N158)</x:f>
      </x:c>
      <x:c r="P158" s="98"/>
      <x:c r="Q158" s="91"/>
      <x:c r="R158" s="88" t="str">
        <x:f>IF(A158="","",IF(M158&gt;=1,"Complete",IF(I158="Blocked","Blocked",IF(G158="","No Due Date",IF(G158&lt;TODAY(),"Overdue",IF(M158+0.1&lt;N158,"At Risk",IF(G158-TODAY()&lt;=7,"Due Soon","On Track")))))))</x:f>
      </x:c>
      <x:c r="S158" s="91"/>
    </x:row>
    <x:row r="159">
      <x:c r="A159" s="90"/>
      <x:c r="B159" s="90"/>
      <x:c r="C159" s="91"/>
      <x:c r="D159" s="90"/>
      <x:c r="E159" s="90"/>
      <x:c r="F159" s="92"/>
      <x:c r="G159" s="92"/>
      <x:c r="H159" s="84" t="str">
        <x:f>IF(A159="","",IF(OR(F159="",G159=""),"",MAX(0,G159-F159+1)))</x:f>
      </x:c>
      <x:c r="I159" s="90"/>
      <x:c r="J159" s="90"/>
      <x:c r="K159" s="90"/>
      <x:c r="L159" s="96"/>
      <x:c r="M159" s="86" t="str">
        <x:f>IF(A159="","",IF(L159&lt;&gt;"",MAX(0,MIN(1,L159)),IF(AND(K159&lt;&gt;"",K159&gt;0,J159&lt;&gt;""),MAX(0,MIN(1,J159/K159)),IF(I159="",0,SUMIF('Lists &amp; Setup'!$A$4:$A$8,I159,'Lists &amp; Setup'!$B$4:$B$8)))))</x:f>
      </x:c>
      <x:c r="N159" s="86" t="str">
        <x:f>IF(A159="","",IF(OR(F159="",G159=""),0,IF(TODAY()&lt;F159,0,IF(TODAY()&gt;=G159,1,(TODAY()-F159+1)/MAX(1,G159-F159+1)))))</x:f>
      </x:c>
      <x:c r="O159" s="86" t="str">
        <x:f>IF(A159="","",M159-N159)</x:f>
      </x:c>
      <x:c r="P159" s="98"/>
      <x:c r="Q159" s="91"/>
      <x:c r="R159" s="88" t="str">
        <x:f>IF(A159="","",IF(M159&gt;=1,"Complete",IF(I159="Blocked","Blocked",IF(G159="","No Due Date",IF(G159&lt;TODAY(),"Overdue",IF(M159+0.1&lt;N159,"At Risk",IF(G159-TODAY()&lt;=7,"Due Soon","On Track")))))))</x:f>
      </x:c>
      <x:c r="S159" s="91"/>
    </x:row>
    <x:row r="160">
      <x:c r="A160" s="90"/>
      <x:c r="B160" s="90"/>
      <x:c r="C160" s="91"/>
      <x:c r="D160" s="90"/>
      <x:c r="E160" s="90"/>
      <x:c r="F160" s="92"/>
      <x:c r="G160" s="92"/>
      <x:c r="H160" s="84" t="str">
        <x:f>IF(A160="","",IF(OR(F160="",G160=""),"",MAX(0,G160-F160+1)))</x:f>
      </x:c>
      <x:c r="I160" s="90"/>
      <x:c r="J160" s="90"/>
      <x:c r="K160" s="90"/>
      <x:c r="L160" s="96"/>
      <x:c r="M160" s="86" t="str">
        <x:f>IF(A160="","",IF(L160&lt;&gt;"",MAX(0,MIN(1,L160)),IF(AND(K160&lt;&gt;"",K160&gt;0,J160&lt;&gt;""),MAX(0,MIN(1,J160/K160)),IF(I160="",0,SUMIF('Lists &amp; Setup'!$A$4:$A$8,I160,'Lists &amp; Setup'!$B$4:$B$8)))))</x:f>
      </x:c>
      <x:c r="N160" s="86" t="str">
        <x:f>IF(A160="","",IF(OR(F160="",G160=""),0,IF(TODAY()&lt;F160,0,IF(TODAY()&gt;=G160,1,(TODAY()-F160+1)/MAX(1,G160-F160+1)))))</x:f>
      </x:c>
      <x:c r="O160" s="86" t="str">
        <x:f>IF(A160="","",M160-N160)</x:f>
      </x:c>
      <x:c r="P160" s="98"/>
      <x:c r="Q160" s="91"/>
      <x:c r="R160" s="88" t="str">
        <x:f>IF(A160="","",IF(M160&gt;=1,"Complete",IF(I160="Blocked","Blocked",IF(G160="","No Due Date",IF(G160&lt;TODAY(),"Overdue",IF(M160+0.1&lt;N160,"At Risk",IF(G160-TODAY()&lt;=7,"Due Soon","On Track")))))))</x:f>
      </x:c>
      <x:c r="S160" s="91"/>
    </x:row>
    <x:row r="161">
      <x:c r="A161" s="90"/>
      <x:c r="B161" s="90"/>
      <x:c r="C161" s="91"/>
      <x:c r="D161" s="90"/>
      <x:c r="E161" s="90"/>
      <x:c r="F161" s="92"/>
      <x:c r="G161" s="92"/>
      <x:c r="H161" s="84" t="str">
        <x:f>IF(A161="","",IF(OR(F161="",G161=""),"",MAX(0,G161-F161+1)))</x:f>
      </x:c>
      <x:c r="I161" s="90"/>
      <x:c r="J161" s="90"/>
      <x:c r="K161" s="90"/>
      <x:c r="L161" s="96"/>
      <x:c r="M161" s="86" t="str">
        <x:f>IF(A161="","",IF(L161&lt;&gt;"",MAX(0,MIN(1,L161)),IF(AND(K161&lt;&gt;"",K161&gt;0,J161&lt;&gt;""),MAX(0,MIN(1,J161/K161)),IF(I161="",0,SUMIF('Lists &amp; Setup'!$A$4:$A$8,I161,'Lists &amp; Setup'!$B$4:$B$8)))))</x:f>
      </x:c>
      <x:c r="N161" s="86" t="str">
        <x:f>IF(A161="","",IF(OR(F161="",G161=""),0,IF(TODAY()&lt;F161,0,IF(TODAY()&gt;=G161,1,(TODAY()-F161+1)/MAX(1,G161-F161+1)))))</x:f>
      </x:c>
      <x:c r="O161" s="86" t="str">
        <x:f>IF(A161="","",M161-N161)</x:f>
      </x:c>
      <x:c r="P161" s="98"/>
      <x:c r="Q161" s="91"/>
      <x:c r="R161" s="88" t="str">
        <x:f>IF(A161="","",IF(M161&gt;=1,"Complete",IF(I161="Blocked","Blocked",IF(G161="","No Due Date",IF(G161&lt;TODAY(),"Overdue",IF(M161+0.1&lt;N161,"At Risk",IF(G161-TODAY()&lt;=7,"Due Soon","On Track")))))))</x:f>
      </x:c>
      <x:c r="S161" s="91"/>
    </x:row>
    <x:row r="162">
      <x:c r="A162" s="90"/>
      <x:c r="B162" s="90"/>
      <x:c r="C162" s="91"/>
      <x:c r="D162" s="90"/>
      <x:c r="E162" s="90"/>
      <x:c r="F162" s="92"/>
      <x:c r="G162" s="92"/>
      <x:c r="H162" s="84" t="str">
        <x:f>IF(A162="","",IF(OR(F162="",G162=""),"",MAX(0,G162-F162+1)))</x:f>
      </x:c>
      <x:c r="I162" s="90"/>
      <x:c r="J162" s="90"/>
      <x:c r="K162" s="90"/>
      <x:c r="L162" s="96"/>
      <x:c r="M162" s="86" t="str">
        <x:f>IF(A162="","",IF(L162&lt;&gt;"",MAX(0,MIN(1,L162)),IF(AND(K162&lt;&gt;"",K162&gt;0,J162&lt;&gt;""),MAX(0,MIN(1,J162/K162)),IF(I162="",0,SUMIF('Lists &amp; Setup'!$A$4:$A$8,I162,'Lists &amp; Setup'!$B$4:$B$8)))))</x:f>
      </x:c>
      <x:c r="N162" s="86" t="str">
        <x:f>IF(A162="","",IF(OR(F162="",G162=""),0,IF(TODAY()&lt;F162,0,IF(TODAY()&gt;=G162,1,(TODAY()-F162+1)/MAX(1,G162-F162+1)))))</x:f>
      </x:c>
      <x:c r="O162" s="86" t="str">
        <x:f>IF(A162="","",M162-N162)</x:f>
      </x:c>
      <x:c r="P162" s="98"/>
      <x:c r="Q162" s="91"/>
      <x:c r="R162" s="88" t="str">
        <x:f>IF(A162="","",IF(M162&gt;=1,"Complete",IF(I162="Blocked","Blocked",IF(G162="","No Due Date",IF(G162&lt;TODAY(),"Overdue",IF(M162+0.1&lt;N162,"At Risk",IF(G162-TODAY()&lt;=7,"Due Soon","On Track")))))))</x:f>
      </x:c>
      <x:c r="S162" s="91"/>
    </x:row>
    <x:row r="163">
      <x:c r="A163" s="90"/>
      <x:c r="B163" s="90"/>
      <x:c r="C163" s="91"/>
      <x:c r="D163" s="90"/>
      <x:c r="E163" s="90"/>
      <x:c r="F163" s="92"/>
      <x:c r="G163" s="92"/>
      <x:c r="H163" s="84" t="str">
        <x:f>IF(A163="","",IF(OR(F163="",G163=""),"",MAX(0,G163-F163+1)))</x:f>
      </x:c>
      <x:c r="I163" s="90"/>
      <x:c r="J163" s="90"/>
      <x:c r="K163" s="90"/>
      <x:c r="L163" s="96"/>
      <x:c r="M163" s="86" t="str">
        <x:f>IF(A163="","",IF(L163&lt;&gt;"",MAX(0,MIN(1,L163)),IF(AND(K163&lt;&gt;"",K163&gt;0,J163&lt;&gt;""),MAX(0,MIN(1,J163/K163)),IF(I163="",0,SUMIF('Lists &amp; Setup'!$A$4:$A$8,I163,'Lists &amp; Setup'!$B$4:$B$8)))))</x:f>
      </x:c>
      <x:c r="N163" s="86" t="str">
        <x:f>IF(A163="","",IF(OR(F163="",G163=""),0,IF(TODAY()&lt;F163,0,IF(TODAY()&gt;=G163,1,(TODAY()-F163+1)/MAX(1,G163-F163+1)))))</x:f>
      </x:c>
      <x:c r="O163" s="86" t="str">
        <x:f>IF(A163="","",M163-N163)</x:f>
      </x:c>
      <x:c r="P163" s="98"/>
      <x:c r="Q163" s="91"/>
      <x:c r="R163" s="88" t="str">
        <x:f>IF(A163="","",IF(M163&gt;=1,"Complete",IF(I163="Blocked","Blocked",IF(G163="","No Due Date",IF(G163&lt;TODAY(),"Overdue",IF(M163+0.1&lt;N163,"At Risk",IF(G163-TODAY()&lt;=7,"Due Soon","On Track")))))))</x:f>
      </x:c>
      <x:c r="S163" s="91"/>
    </x:row>
    <x:row r="164">
      <x:c r="A164" s="90"/>
      <x:c r="B164" s="90"/>
      <x:c r="C164" s="91"/>
      <x:c r="D164" s="90"/>
      <x:c r="E164" s="90"/>
      <x:c r="F164" s="92"/>
      <x:c r="G164" s="92"/>
      <x:c r="H164" s="84" t="str">
        <x:f>IF(A164="","",IF(OR(F164="",G164=""),"",MAX(0,G164-F164+1)))</x:f>
      </x:c>
      <x:c r="I164" s="90"/>
      <x:c r="J164" s="90"/>
      <x:c r="K164" s="90"/>
      <x:c r="L164" s="96"/>
      <x:c r="M164" s="86" t="str">
        <x:f>IF(A164="","",IF(L164&lt;&gt;"",MAX(0,MIN(1,L164)),IF(AND(K164&lt;&gt;"",K164&gt;0,J164&lt;&gt;""),MAX(0,MIN(1,J164/K164)),IF(I164="",0,SUMIF('Lists &amp; Setup'!$A$4:$A$8,I164,'Lists &amp; Setup'!$B$4:$B$8)))))</x:f>
      </x:c>
      <x:c r="N164" s="86" t="str">
        <x:f>IF(A164="","",IF(OR(F164="",G164=""),0,IF(TODAY()&lt;F164,0,IF(TODAY()&gt;=G164,1,(TODAY()-F164+1)/MAX(1,G164-F164+1)))))</x:f>
      </x:c>
      <x:c r="O164" s="86" t="str">
        <x:f>IF(A164="","",M164-N164)</x:f>
      </x:c>
      <x:c r="P164" s="98"/>
      <x:c r="Q164" s="91"/>
      <x:c r="R164" s="88" t="str">
        <x:f>IF(A164="","",IF(M164&gt;=1,"Complete",IF(I164="Blocked","Blocked",IF(G164="","No Due Date",IF(G164&lt;TODAY(),"Overdue",IF(M164+0.1&lt;N164,"At Risk",IF(G164-TODAY()&lt;=7,"Due Soon","On Track")))))))</x:f>
      </x:c>
      <x:c r="S164" s="91"/>
    </x:row>
    <x:row r="165">
      <x:c r="A165" s="90"/>
      <x:c r="B165" s="90"/>
      <x:c r="C165" s="91"/>
      <x:c r="D165" s="90"/>
      <x:c r="E165" s="90"/>
      <x:c r="F165" s="92"/>
      <x:c r="G165" s="92"/>
      <x:c r="H165" s="84" t="str">
        <x:f>IF(A165="","",IF(OR(F165="",G165=""),"",MAX(0,G165-F165+1)))</x:f>
      </x:c>
      <x:c r="I165" s="90"/>
      <x:c r="J165" s="90"/>
      <x:c r="K165" s="90"/>
      <x:c r="L165" s="96"/>
      <x:c r="M165" s="86" t="str">
        <x:f>IF(A165="","",IF(L165&lt;&gt;"",MAX(0,MIN(1,L165)),IF(AND(K165&lt;&gt;"",K165&gt;0,J165&lt;&gt;""),MAX(0,MIN(1,J165/K165)),IF(I165="",0,SUMIF('Lists &amp; Setup'!$A$4:$A$8,I165,'Lists &amp; Setup'!$B$4:$B$8)))))</x:f>
      </x:c>
      <x:c r="N165" s="86" t="str">
        <x:f>IF(A165="","",IF(OR(F165="",G165=""),0,IF(TODAY()&lt;F165,0,IF(TODAY()&gt;=G165,1,(TODAY()-F165+1)/MAX(1,G165-F165+1)))))</x:f>
      </x:c>
      <x:c r="O165" s="86" t="str">
        <x:f>IF(A165="","",M165-N165)</x:f>
      </x:c>
      <x:c r="P165" s="98"/>
      <x:c r="Q165" s="91"/>
      <x:c r="R165" s="88" t="str">
        <x:f>IF(A165="","",IF(M165&gt;=1,"Complete",IF(I165="Blocked","Blocked",IF(G165="","No Due Date",IF(G165&lt;TODAY(),"Overdue",IF(M165+0.1&lt;N165,"At Risk",IF(G165-TODAY()&lt;=7,"Due Soon","On Track")))))))</x:f>
      </x:c>
      <x:c r="S165" s="91"/>
    </x:row>
    <x:row r="166">
      <x:c r="A166" s="90"/>
      <x:c r="B166" s="90"/>
      <x:c r="C166" s="91"/>
      <x:c r="D166" s="90"/>
      <x:c r="E166" s="90"/>
      <x:c r="F166" s="92"/>
      <x:c r="G166" s="92"/>
      <x:c r="H166" s="84" t="str">
        <x:f>IF(A166="","",IF(OR(F166="",G166=""),"",MAX(0,G166-F166+1)))</x:f>
      </x:c>
      <x:c r="I166" s="90"/>
      <x:c r="J166" s="90"/>
      <x:c r="K166" s="90"/>
      <x:c r="L166" s="96"/>
      <x:c r="M166" s="86" t="str">
        <x:f>IF(A166="","",IF(L166&lt;&gt;"",MAX(0,MIN(1,L166)),IF(AND(K166&lt;&gt;"",K166&gt;0,J166&lt;&gt;""),MAX(0,MIN(1,J166/K166)),IF(I166="",0,SUMIF('Lists &amp; Setup'!$A$4:$A$8,I166,'Lists &amp; Setup'!$B$4:$B$8)))))</x:f>
      </x:c>
      <x:c r="N166" s="86" t="str">
        <x:f>IF(A166="","",IF(OR(F166="",G166=""),0,IF(TODAY()&lt;F166,0,IF(TODAY()&gt;=G166,1,(TODAY()-F166+1)/MAX(1,G166-F166+1)))))</x:f>
      </x:c>
      <x:c r="O166" s="86" t="str">
        <x:f>IF(A166="","",M166-N166)</x:f>
      </x:c>
      <x:c r="P166" s="98"/>
      <x:c r="Q166" s="91"/>
      <x:c r="R166" s="88" t="str">
        <x:f>IF(A166="","",IF(M166&gt;=1,"Complete",IF(I166="Blocked","Blocked",IF(G166="","No Due Date",IF(G166&lt;TODAY(),"Overdue",IF(M166+0.1&lt;N166,"At Risk",IF(G166-TODAY()&lt;=7,"Due Soon","On Track")))))))</x:f>
      </x:c>
      <x:c r="S166" s="91"/>
    </x:row>
    <x:row r="167">
      <x:c r="A167" s="90"/>
      <x:c r="B167" s="90"/>
      <x:c r="C167" s="91"/>
      <x:c r="D167" s="90"/>
      <x:c r="E167" s="90"/>
      <x:c r="F167" s="92"/>
      <x:c r="G167" s="92"/>
      <x:c r="H167" s="84" t="str">
        <x:f>IF(A167="","",IF(OR(F167="",G167=""),"",MAX(0,G167-F167+1)))</x:f>
      </x:c>
      <x:c r="I167" s="90"/>
      <x:c r="J167" s="90"/>
      <x:c r="K167" s="90"/>
      <x:c r="L167" s="96"/>
      <x:c r="M167" s="86" t="str">
        <x:f>IF(A167="","",IF(L167&lt;&gt;"",MAX(0,MIN(1,L167)),IF(AND(K167&lt;&gt;"",K167&gt;0,J167&lt;&gt;""),MAX(0,MIN(1,J167/K167)),IF(I167="",0,SUMIF('Lists &amp; Setup'!$A$4:$A$8,I167,'Lists &amp; Setup'!$B$4:$B$8)))))</x:f>
      </x:c>
      <x:c r="N167" s="86" t="str">
        <x:f>IF(A167="","",IF(OR(F167="",G167=""),0,IF(TODAY()&lt;F167,0,IF(TODAY()&gt;=G167,1,(TODAY()-F167+1)/MAX(1,G167-F167+1)))))</x:f>
      </x:c>
      <x:c r="O167" s="86" t="str">
        <x:f>IF(A167="","",M167-N167)</x:f>
      </x:c>
      <x:c r="P167" s="98"/>
      <x:c r="Q167" s="91"/>
      <x:c r="R167" s="88" t="str">
        <x:f>IF(A167="","",IF(M167&gt;=1,"Complete",IF(I167="Blocked","Blocked",IF(G167="","No Due Date",IF(G167&lt;TODAY(),"Overdue",IF(M167+0.1&lt;N167,"At Risk",IF(G167-TODAY()&lt;=7,"Due Soon","On Track")))))))</x:f>
      </x:c>
      <x:c r="S167" s="91"/>
    </x:row>
    <x:row r="168">
      <x:c r="A168" s="90"/>
      <x:c r="B168" s="90"/>
      <x:c r="C168" s="91"/>
      <x:c r="D168" s="90"/>
      <x:c r="E168" s="90"/>
      <x:c r="F168" s="92"/>
      <x:c r="G168" s="92"/>
      <x:c r="H168" s="84" t="str">
        <x:f>IF(A168="","",IF(OR(F168="",G168=""),"",MAX(0,G168-F168+1)))</x:f>
      </x:c>
      <x:c r="I168" s="90"/>
      <x:c r="J168" s="90"/>
      <x:c r="K168" s="90"/>
      <x:c r="L168" s="96"/>
      <x:c r="M168" s="86" t="str">
        <x:f>IF(A168="","",IF(L168&lt;&gt;"",MAX(0,MIN(1,L168)),IF(AND(K168&lt;&gt;"",K168&gt;0,J168&lt;&gt;""),MAX(0,MIN(1,J168/K168)),IF(I168="",0,SUMIF('Lists &amp; Setup'!$A$4:$A$8,I168,'Lists &amp; Setup'!$B$4:$B$8)))))</x:f>
      </x:c>
      <x:c r="N168" s="86" t="str">
        <x:f>IF(A168="","",IF(OR(F168="",G168=""),0,IF(TODAY()&lt;F168,0,IF(TODAY()&gt;=G168,1,(TODAY()-F168+1)/MAX(1,G168-F168+1)))))</x:f>
      </x:c>
      <x:c r="O168" s="86" t="str">
        <x:f>IF(A168="","",M168-N168)</x:f>
      </x:c>
      <x:c r="P168" s="98"/>
      <x:c r="Q168" s="91"/>
      <x:c r="R168" s="88" t="str">
        <x:f>IF(A168="","",IF(M168&gt;=1,"Complete",IF(I168="Blocked","Blocked",IF(G168="","No Due Date",IF(G168&lt;TODAY(),"Overdue",IF(M168+0.1&lt;N168,"At Risk",IF(G168-TODAY()&lt;=7,"Due Soon","On Track")))))))</x:f>
      </x:c>
      <x:c r="S168" s="91"/>
    </x:row>
    <x:row r="169">
      <x:c r="A169" s="90"/>
      <x:c r="B169" s="90"/>
      <x:c r="C169" s="91"/>
      <x:c r="D169" s="90"/>
      <x:c r="E169" s="90"/>
      <x:c r="F169" s="92"/>
      <x:c r="G169" s="92"/>
      <x:c r="H169" s="84" t="str">
        <x:f>IF(A169="","",IF(OR(F169="",G169=""),"",MAX(0,G169-F169+1)))</x:f>
      </x:c>
      <x:c r="I169" s="90"/>
      <x:c r="J169" s="90"/>
      <x:c r="K169" s="90"/>
      <x:c r="L169" s="96"/>
      <x:c r="M169" s="86" t="str">
        <x:f>IF(A169="","",IF(L169&lt;&gt;"",MAX(0,MIN(1,L169)),IF(AND(K169&lt;&gt;"",K169&gt;0,J169&lt;&gt;""),MAX(0,MIN(1,J169/K169)),IF(I169="",0,SUMIF('Lists &amp; Setup'!$A$4:$A$8,I169,'Lists &amp; Setup'!$B$4:$B$8)))))</x:f>
      </x:c>
      <x:c r="N169" s="86" t="str">
        <x:f>IF(A169="","",IF(OR(F169="",G169=""),0,IF(TODAY()&lt;F169,0,IF(TODAY()&gt;=G169,1,(TODAY()-F169+1)/MAX(1,G169-F169+1)))))</x:f>
      </x:c>
      <x:c r="O169" s="86" t="str">
        <x:f>IF(A169="","",M169-N169)</x:f>
      </x:c>
      <x:c r="P169" s="98"/>
      <x:c r="Q169" s="91"/>
      <x:c r="R169" s="88" t="str">
        <x:f>IF(A169="","",IF(M169&gt;=1,"Complete",IF(I169="Blocked","Blocked",IF(G169="","No Due Date",IF(G169&lt;TODAY(),"Overdue",IF(M169+0.1&lt;N169,"At Risk",IF(G169-TODAY()&lt;=7,"Due Soon","On Track")))))))</x:f>
      </x:c>
      <x:c r="S169" s="91"/>
    </x:row>
    <x:row r="170">
      <x:c r="A170" s="90"/>
      <x:c r="B170" s="90"/>
      <x:c r="C170" s="91"/>
      <x:c r="D170" s="90"/>
      <x:c r="E170" s="90"/>
      <x:c r="F170" s="92"/>
      <x:c r="G170" s="92"/>
      <x:c r="H170" s="84" t="str">
        <x:f>IF(A170="","",IF(OR(F170="",G170=""),"",MAX(0,G170-F170+1)))</x:f>
      </x:c>
      <x:c r="I170" s="90"/>
      <x:c r="J170" s="90"/>
      <x:c r="K170" s="90"/>
      <x:c r="L170" s="96"/>
      <x:c r="M170" s="86" t="str">
        <x:f>IF(A170="","",IF(L170&lt;&gt;"",MAX(0,MIN(1,L170)),IF(AND(K170&lt;&gt;"",K170&gt;0,J170&lt;&gt;""),MAX(0,MIN(1,J170/K170)),IF(I170="",0,SUMIF('Lists &amp; Setup'!$A$4:$A$8,I170,'Lists &amp; Setup'!$B$4:$B$8)))))</x:f>
      </x:c>
      <x:c r="N170" s="86" t="str">
        <x:f>IF(A170="","",IF(OR(F170="",G170=""),0,IF(TODAY()&lt;F170,0,IF(TODAY()&gt;=G170,1,(TODAY()-F170+1)/MAX(1,G170-F170+1)))))</x:f>
      </x:c>
      <x:c r="O170" s="86" t="str">
        <x:f>IF(A170="","",M170-N170)</x:f>
      </x:c>
      <x:c r="P170" s="98"/>
      <x:c r="Q170" s="91"/>
      <x:c r="R170" s="88" t="str">
        <x:f>IF(A170="","",IF(M170&gt;=1,"Complete",IF(I170="Blocked","Blocked",IF(G170="","No Due Date",IF(G170&lt;TODAY(),"Overdue",IF(M170+0.1&lt;N170,"At Risk",IF(G170-TODAY()&lt;=7,"Due Soon","On Track")))))))</x:f>
      </x:c>
      <x:c r="S170" s="91"/>
    </x:row>
    <x:row r="171">
      <x:c r="A171" s="90"/>
      <x:c r="B171" s="90"/>
      <x:c r="C171" s="91"/>
      <x:c r="D171" s="90"/>
      <x:c r="E171" s="90"/>
      <x:c r="F171" s="92"/>
      <x:c r="G171" s="92"/>
      <x:c r="H171" s="84" t="str">
        <x:f>IF(A171="","",IF(OR(F171="",G171=""),"",MAX(0,G171-F171+1)))</x:f>
      </x:c>
      <x:c r="I171" s="90"/>
      <x:c r="J171" s="90"/>
      <x:c r="K171" s="90"/>
      <x:c r="L171" s="96"/>
      <x:c r="M171" s="86" t="str">
        <x:f>IF(A171="","",IF(L171&lt;&gt;"",MAX(0,MIN(1,L171)),IF(AND(K171&lt;&gt;"",K171&gt;0,J171&lt;&gt;""),MAX(0,MIN(1,J171/K171)),IF(I171="",0,SUMIF('Lists &amp; Setup'!$A$4:$A$8,I171,'Lists &amp; Setup'!$B$4:$B$8)))))</x:f>
      </x:c>
      <x:c r="N171" s="86" t="str">
        <x:f>IF(A171="","",IF(OR(F171="",G171=""),0,IF(TODAY()&lt;F171,0,IF(TODAY()&gt;=G171,1,(TODAY()-F171+1)/MAX(1,G171-F171+1)))))</x:f>
      </x:c>
      <x:c r="O171" s="86" t="str">
        <x:f>IF(A171="","",M171-N171)</x:f>
      </x:c>
      <x:c r="P171" s="98"/>
      <x:c r="Q171" s="91"/>
      <x:c r="R171" s="88" t="str">
        <x:f>IF(A171="","",IF(M171&gt;=1,"Complete",IF(I171="Blocked","Blocked",IF(G171="","No Due Date",IF(G171&lt;TODAY(),"Overdue",IF(M171+0.1&lt;N171,"At Risk",IF(G171-TODAY()&lt;=7,"Due Soon","On Track")))))))</x:f>
      </x:c>
      <x:c r="S171" s="91"/>
    </x:row>
    <x:row r="172">
      <x:c r="A172" s="90"/>
      <x:c r="B172" s="90"/>
      <x:c r="C172" s="91"/>
      <x:c r="D172" s="90"/>
      <x:c r="E172" s="90"/>
      <x:c r="F172" s="92"/>
      <x:c r="G172" s="92"/>
      <x:c r="H172" s="84" t="str">
        <x:f>IF(A172="","",IF(OR(F172="",G172=""),"",MAX(0,G172-F172+1)))</x:f>
      </x:c>
      <x:c r="I172" s="90"/>
      <x:c r="J172" s="90"/>
      <x:c r="K172" s="90"/>
      <x:c r="L172" s="96"/>
      <x:c r="M172" s="86" t="str">
        <x:f>IF(A172="","",IF(L172&lt;&gt;"",MAX(0,MIN(1,L172)),IF(AND(K172&lt;&gt;"",K172&gt;0,J172&lt;&gt;""),MAX(0,MIN(1,J172/K172)),IF(I172="",0,SUMIF('Lists &amp; Setup'!$A$4:$A$8,I172,'Lists &amp; Setup'!$B$4:$B$8)))))</x:f>
      </x:c>
      <x:c r="N172" s="86" t="str">
        <x:f>IF(A172="","",IF(OR(F172="",G172=""),0,IF(TODAY()&lt;F172,0,IF(TODAY()&gt;=G172,1,(TODAY()-F172+1)/MAX(1,G172-F172+1)))))</x:f>
      </x:c>
      <x:c r="O172" s="86" t="str">
        <x:f>IF(A172="","",M172-N172)</x:f>
      </x:c>
      <x:c r="P172" s="98"/>
      <x:c r="Q172" s="91"/>
      <x:c r="R172" s="88" t="str">
        <x:f>IF(A172="","",IF(M172&gt;=1,"Complete",IF(I172="Blocked","Blocked",IF(G172="","No Due Date",IF(G172&lt;TODAY(),"Overdue",IF(M172+0.1&lt;N172,"At Risk",IF(G172-TODAY()&lt;=7,"Due Soon","On Track")))))))</x:f>
      </x:c>
      <x:c r="S172" s="91"/>
    </x:row>
    <x:row r="173">
      <x:c r="A173" s="90"/>
      <x:c r="B173" s="90"/>
      <x:c r="C173" s="91"/>
      <x:c r="D173" s="90"/>
      <x:c r="E173" s="90"/>
      <x:c r="F173" s="92"/>
      <x:c r="G173" s="92"/>
      <x:c r="H173" s="84" t="str">
        <x:f>IF(A173="","",IF(OR(F173="",G173=""),"",MAX(0,G173-F173+1)))</x:f>
      </x:c>
      <x:c r="I173" s="90"/>
      <x:c r="J173" s="90"/>
      <x:c r="K173" s="90"/>
      <x:c r="L173" s="96"/>
      <x:c r="M173" s="86" t="str">
        <x:f>IF(A173="","",IF(L173&lt;&gt;"",MAX(0,MIN(1,L173)),IF(AND(K173&lt;&gt;"",K173&gt;0,J173&lt;&gt;""),MAX(0,MIN(1,J173/K173)),IF(I173="",0,SUMIF('Lists &amp; Setup'!$A$4:$A$8,I173,'Lists &amp; Setup'!$B$4:$B$8)))))</x:f>
      </x:c>
      <x:c r="N173" s="86" t="str">
        <x:f>IF(A173="","",IF(OR(F173="",G173=""),0,IF(TODAY()&lt;F173,0,IF(TODAY()&gt;=G173,1,(TODAY()-F173+1)/MAX(1,G173-F173+1)))))</x:f>
      </x:c>
      <x:c r="O173" s="86" t="str">
        <x:f>IF(A173="","",M173-N173)</x:f>
      </x:c>
      <x:c r="P173" s="98"/>
      <x:c r="Q173" s="91"/>
      <x:c r="R173" s="88" t="str">
        <x:f>IF(A173="","",IF(M173&gt;=1,"Complete",IF(I173="Blocked","Blocked",IF(G173="","No Due Date",IF(G173&lt;TODAY(),"Overdue",IF(M173+0.1&lt;N173,"At Risk",IF(G173-TODAY()&lt;=7,"Due Soon","On Track")))))))</x:f>
      </x:c>
      <x:c r="S173" s="91"/>
    </x:row>
    <x:row r="174">
      <x:c r="A174" s="90"/>
      <x:c r="B174" s="90"/>
      <x:c r="C174" s="91"/>
      <x:c r="D174" s="90"/>
      <x:c r="E174" s="90"/>
      <x:c r="F174" s="92"/>
      <x:c r="G174" s="92"/>
      <x:c r="H174" s="84" t="str">
        <x:f>IF(A174="","",IF(OR(F174="",G174=""),"",MAX(0,G174-F174+1)))</x:f>
      </x:c>
      <x:c r="I174" s="90"/>
      <x:c r="J174" s="90"/>
      <x:c r="K174" s="90"/>
      <x:c r="L174" s="96"/>
      <x:c r="M174" s="86" t="str">
        <x:f>IF(A174="","",IF(L174&lt;&gt;"",MAX(0,MIN(1,L174)),IF(AND(K174&lt;&gt;"",K174&gt;0,J174&lt;&gt;""),MAX(0,MIN(1,J174/K174)),IF(I174="",0,SUMIF('Lists &amp; Setup'!$A$4:$A$8,I174,'Lists &amp; Setup'!$B$4:$B$8)))))</x:f>
      </x:c>
      <x:c r="N174" s="86" t="str">
        <x:f>IF(A174="","",IF(OR(F174="",G174=""),0,IF(TODAY()&lt;F174,0,IF(TODAY()&gt;=G174,1,(TODAY()-F174+1)/MAX(1,G174-F174+1)))))</x:f>
      </x:c>
      <x:c r="O174" s="86" t="str">
        <x:f>IF(A174="","",M174-N174)</x:f>
      </x:c>
      <x:c r="P174" s="98"/>
      <x:c r="Q174" s="91"/>
      <x:c r="R174" s="88" t="str">
        <x:f>IF(A174="","",IF(M174&gt;=1,"Complete",IF(I174="Blocked","Blocked",IF(G174="","No Due Date",IF(G174&lt;TODAY(),"Overdue",IF(M174+0.1&lt;N174,"At Risk",IF(G174-TODAY()&lt;=7,"Due Soon","On Track")))))))</x:f>
      </x:c>
      <x:c r="S174" s="91"/>
    </x:row>
    <x:row r="175">
      <x:c r="A175" s="90"/>
      <x:c r="B175" s="90"/>
      <x:c r="C175" s="91"/>
      <x:c r="D175" s="90"/>
      <x:c r="E175" s="90"/>
      <x:c r="F175" s="92"/>
      <x:c r="G175" s="92"/>
      <x:c r="H175" s="84" t="str">
        <x:f>IF(A175="","",IF(OR(F175="",G175=""),"",MAX(0,G175-F175+1)))</x:f>
      </x:c>
      <x:c r="I175" s="90"/>
      <x:c r="J175" s="90"/>
      <x:c r="K175" s="90"/>
      <x:c r="L175" s="96"/>
      <x:c r="M175" s="86" t="str">
        <x:f>IF(A175="","",IF(L175&lt;&gt;"",MAX(0,MIN(1,L175)),IF(AND(K175&lt;&gt;"",K175&gt;0,J175&lt;&gt;""),MAX(0,MIN(1,J175/K175)),IF(I175="",0,SUMIF('Lists &amp; Setup'!$A$4:$A$8,I175,'Lists &amp; Setup'!$B$4:$B$8)))))</x:f>
      </x:c>
      <x:c r="N175" s="86" t="str">
        <x:f>IF(A175="","",IF(OR(F175="",G175=""),0,IF(TODAY()&lt;F175,0,IF(TODAY()&gt;=G175,1,(TODAY()-F175+1)/MAX(1,G175-F175+1)))))</x:f>
      </x:c>
      <x:c r="O175" s="86" t="str">
        <x:f>IF(A175="","",M175-N175)</x:f>
      </x:c>
      <x:c r="P175" s="98"/>
      <x:c r="Q175" s="91"/>
      <x:c r="R175" s="88" t="str">
        <x:f>IF(A175="","",IF(M175&gt;=1,"Complete",IF(I175="Blocked","Blocked",IF(G175="","No Due Date",IF(G175&lt;TODAY(),"Overdue",IF(M175+0.1&lt;N175,"At Risk",IF(G175-TODAY()&lt;=7,"Due Soon","On Track")))))))</x:f>
      </x:c>
      <x:c r="S175" s="91"/>
    </x:row>
    <x:row r="176">
      <x:c r="A176" s="90"/>
      <x:c r="B176" s="90"/>
      <x:c r="C176" s="91"/>
      <x:c r="D176" s="90"/>
      <x:c r="E176" s="90"/>
      <x:c r="F176" s="92"/>
      <x:c r="G176" s="92"/>
      <x:c r="H176" s="84" t="str">
        <x:f>IF(A176="","",IF(OR(F176="",G176=""),"",MAX(0,G176-F176+1)))</x:f>
      </x:c>
      <x:c r="I176" s="90"/>
      <x:c r="J176" s="90"/>
      <x:c r="K176" s="90"/>
      <x:c r="L176" s="96"/>
      <x:c r="M176" s="86" t="str">
        <x:f>IF(A176="","",IF(L176&lt;&gt;"",MAX(0,MIN(1,L176)),IF(AND(K176&lt;&gt;"",K176&gt;0,J176&lt;&gt;""),MAX(0,MIN(1,J176/K176)),IF(I176="",0,SUMIF('Lists &amp; Setup'!$A$4:$A$8,I176,'Lists &amp; Setup'!$B$4:$B$8)))))</x:f>
      </x:c>
      <x:c r="N176" s="86" t="str">
        <x:f>IF(A176="","",IF(OR(F176="",G176=""),0,IF(TODAY()&lt;F176,0,IF(TODAY()&gt;=G176,1,(TODAY()-F176+1)/MAX(1,G176-F176+1)))))</x:f>
      </x:c>
      <x:c r="O176" s="86" t="str">
        <x:f>IF(A176="","",M176-N176)</x:f>
      </x:c>
      <x:c r="P176" s="98"/>
      <x:c r="Q176" s="91"/>
      <x:c r="R176" s="88" t="str">
        <x:f>IF(A176="","",IF(M176&gt;=1,"Complete",IF(I176="Blocked","Blocked",IF(G176="","No Due Date",IF(G176&lt;TODAY(),"Overdue",IF(M176+0.1&lt;N176,"At Risk",IF(G176-TODAY()&lt;=7,"Due Soon","On Track")))))))</x:f>
      </x:c>
      <x:c r="S176" s="91"/>
    </x:row>
    <x:row r="177">
      <x:c r="A177" s="90"/>
      <x:c r="B177" s="90"/>
      <x:c r="C177" s="91"/>
      <x:c r="D177" s="90"/>
      <x:c r="E177" s="90"/>
      <x:c r="F177" s="92"/>
      <x:c r="G177" s="92"/>
      <x:c r="H177" s="84" t="str">
        <x:f>IF(A177="","",IF(OR(F177="",G177=""),"",MAX(0,G177-F177+1)))</x:f>
      </x:c>
      <x:c r="I177" s="90"/>
      <x:c r="J177" s="90"/>
      <x:c r="K177" s="90"/>
      <x:c r="L177" s="96"/>
      <x:c r="M177" s="86" t="str">
        <x:f>IF(A177="","",IF(L177&lt;&gt;"",MAX(0,MIN(1,L177)),IF(AND(K177&lt;&gt;"",K177&gt;0,J177&lt;&gt;""),MAX(0,MIN(1,J177/K177)),IF(I177="",0,SUMIF('Lists &amp; Setup'!$A$4:$A$8,I177,'Lists &amp; Setup'!$B$4:$B$8)))))</x:f>
      </x:c>
      <x:c r="N177" s="86" t="str">
        <x:f>IF(A177="","",IF(OR(F177="",G177=""),0,IF(TODAY()&lt;F177,0,IF(TODAY()&gt;=G177,1,(TODAY()-F177+1)/MAX(1,G177-F177+1)))))</x:f>
      </x:c>
      <x:c r="O177" s="86" t="str">
        <x:f>IF(A177="","",M177-N177)</x:f>
      </x:c>
      <x:c r="P177" s="98"/>
      <x:c r="Q177" s="91"/>
      <x:c r="R177" s="88" t="str">
        <x:f>IF(A177="","",IF(M177&gt;=1,"Complete",IF(I177="Blocked","Blocked",IF(G177="","No Due Date",IF(G177&lt;TODAY(),"Overdue",IF(M177+0.1&lt;N177,"At Risk",IF(G177-TODAY()&lt;=7,"Due Soon","On Track")))))))</x:f>
      </x:c>
      <x:c r="S177" s="91"/>
    </x:row>
    <x:row r="178">
      <x:c r="A178" s="90"/>
      <x:c r="B178" s="90"/>
      <x:c r="C178" s="91"/>
      <x:c r="D178" s="90"/>
      <x:c r="E178" s="90"/>
      <x:c r="F178" s="92"/>
      <x:c r="G178" s="92"/>
      <x:c r="H178" s="84" t="str">
        <x:f>IF(A178="","",IF(OR(F178="",G178=""),"",MAX(0,G178-F178+1)))</x:f>
      </x:c>
      <x:c r="I178" s="90"/>
      <x:c r="J178" s="90"/>
      <x:c r="K178" s="90"/>
      <x:c r="L178" s="96"/>
      <x:c r="M178" s="86" t="str">
        <x:f>IF(A178="","",IF(L178&lt;&gt;"",MAX(0,MIN(1,L178)),IF(AND(K178&lt;&gt;"",K178&gt;0,J178&lt;&gt;""),MAX(0,MIN(1,J178/K178)),IF(I178="",0,SUMIF('Lists &amp; Setup'!$A$4:$A$8,I178,'Lists &amp; Setup'!$B$4:$B$8)))))</x:f>
      </x:c>
      <x:c r="N178" s="86" t="str">
        <x:f>IF(A178="","",IF(OR(F178="",G178=""),0,IF(TODAY()&lt;F178,0,IF(TODAY()&gt;=G178,1,(TODAY()-F178+1)/MAX(1,G178-F178+1)))))</x:f>
      </x:c>
      <x:c r="O178" s="86" t="str">
        <x:f>IF(A178="","",M178-N178)</x:f>
      </x:c>
      <x:c r="P178" s="98"/>
      <x:c r="Q178" s="91"/>
      <x:c r="R178" s="88" t="str">
        <x:f>IF(A178="","",IF(M178&gt;=1,"Complete",IF(I178="Blocked","Blocked",IF(G178="","No Due Date",IF(G178&lt;TODAY(),"Overdue",IF(M178+0.1&lt;N178,"At Risk",IF(G178-TODAY()&lt;=7,"Due Soon","On Track")))))))</x:f>
      </x:c>
      <x:c r="S178" s="91"/>
    </x:row>
    <x:row r="179">
      <x:c r="A179" s="90"/>
      <x:c r="B179" s="90"/>
      <x:c r="C179" s="91"/>
      <x:c r="D179" s="90"/>
      <x:c r="E179" s="90"/>
      <x:c r="F179" s="92"/>
      <x:c r="G179" s="92"/>
      <x:c r="H179" s="84" t="str">
        <x:f>IF(A179="","",IF(OR(F179="",G179=""),"",MAX(0,G179-F179+1)))</x:f>
      </x:c>
      <x:c r="I179" s="90"/>
      <x:c r="J179" s="90"/>
      <x:c r="K179" s="90"/>
      <x:c r="L179" s="96"/>
      <x:c r="M179" s="86" t="str">
        <x:f>IF(A179="","",IF(L179&lt;&gt;"",MAX(0,MIN(1,L179)),IF(AND(K179&lt;&gt;"",K179&gt;0,J179&lt;&gt;""),MAX(0,MIN(1,J179/K179)),IF(I179="",0,SUMIF('Lists &amp; Setup'!$A$4:$A$8,I179,'Lists &amp; Setup'!$B$4:$B$8)))))</x:f>
      </x:c>
      <x:c r="N179" s="86" t="str">
        <x:f>IF(A179="","",IF(OR(F179="",G179=""),0,IF(TODAY()&lt;F179,0,IF(TODAY()&gt;=G179,1,(TODAY()-F179+1)/MAX(1,G179-F179+1)))))</x:f>
      </x:c>
      <x:c r="O179" s="86" t="str">
        <x:f>IF(A179="","",M179-N179)</x:f>
      </x:c>
      <x:c r="P179" s="98"/>
      <x:c r="Q179" s="91"/>
      <x:c r="R179" s="88" t="str">
        <x:f>IF(A179="","",IF(M179&gt;=1,"Complete",IF(I179="Blocked","Blocked",IF(G179="","No Due Date",IF(G179&lt;TODAY(),"Overdue",IF(M179+0.1&lt;N179,"At Risk",IF(G179-TODAY()&lt;=7,"Due Soon","On Track")))))))</x:f>
      </x:c>
      <x:c r="S179" s="91"/>
    </x:row>
    <x:row r="180">
      <x:c r="A180" s="90"/>
      <x:c r="B180" s="90"/>
      <x:c r="C180" s="91"/>
      <x:c r="D180" s="90"/>
      <x:c r="E180" s="90"/>
      <x:c r="F180" s="92"/>
      <x:c r="G180" s="92"/>
      <x:c r="H180" s="84" t="str">
        <x:f>IF(A180="","",IF(OR(F180="",G180=""),"",MAX(0,G180-F180+1)))</x:f>
      </x:c>
      <x:c r="I180" s="90"/>
      <x:c r="J180" s="90"/>
      <x:c r="K180" s="90"/>
      <x:c r="L180" s="96"/>
      <x:c r="M180" s="86" t="str">
        <x:f>IF(A180="","",IF(L180&lt;&gt;"",MAX(0,MIN(1,L180)),IF(AND(K180&lt;&gt;"",K180&gt;0,J180&lt;&gt;""),MAX(0,MIN(1,J180/K180)),IF(I180="",0,SUMIF('Lists &amp; Setup'!$A$4:$A$8,I180,'Lists &amp; Setup'!$B$4:$B$8)))))</x:f>
      </x:c>
      <x:c r="N180" s="86" t="str">
        <x:f>IF(A180="","",IF(OR(F180="",G180=""),0,IF(TODAY()&lt;F180,0,IF(TODAY()&gt;=G180,1,(TODAY()-F180+1)/MAX(1,G180-F180+1)))))</x:f>
      </x:c>
      <x:c r="O180" s="86" t="str">
        <x:f>IF(A180="","",M180-N180)</x:f>
      </x:c>
      <x:c r="P180" s="98"/>
      <x:c r="Q180" s="91"/>
      <x:c r="R180" s="88" t="str">
        <x:f>IF(A180="","",IF(M180&gt;=1,"Complete",IF(I180="Blocked","Blocked",IF(G180="","No Due Date",IF(G180&lt;TODAY(),"Overdue",IF(M180+0.1&lt;N180,"At Risk",IF(G180-TODAY()&lt;=7,"Due Soon","On Track")))))))</x:f>
      </x:c>
      <x:c r="S180" s="91"/>
    </x:row>
    <x:row r="181">
      <x:c r="A181" s="90"/>
      <x:c r="B181" s="90"/>
      <x:c r="C181" s="91"/>
      <x:c r="D181" s="90"/>
      <x:c r="E181" s="90"/>
      <x:c r="F181" s="92"/>
      <x:c r="G181" s="92"/>
      <x:c r="H181" s="84" t="str">
        <x:f>IF(A181="","",IF(OR(F181="",G181=""),"",MAX(0,G181-F181+1)))</x:f>
      </x:c>
      <x:c r="I181" s="90"/>
      <x:c r="J181" s="90"/>
      <x:c r="K181" s="90"/>
      <x:c r="L181" s="96"/>
      <x:c r="M181" s="86" t="str">
        <x:f>IF(A181="","",IF(L181&lt;&gt;"",MAX(0,MIN(1,L181)),IF(AND(K181&lt;&gt;"",K181&gt;0,J181&lt;&gt;""),MAX(0,MIN(1,J181/K181)),IF(I181="",0,SUMIF('Lists &amp; Setup'!$A$4:$A$8,I181,'Lists &amp; Setup'!$B$4:$B$8)))))</x:f>
      </x:c>
      <x:c r="N181" s="86" t="str">
        <x:f>IF(A181="","",IF(OR(F181="",G181=""),0,IF(TODAY()&lt;F181,0,IF(TODAY()&gt;=G181,1,(TODAY()-F181+1)/MAX(1,G181-F181+1)))))</x:f>
      </x:c>
      <x:c r="O181" s="86" t="str">
        <x:f>IF(A181="","",M181-N181)</x:f>
      </x:c>
      <x:c r="P181" s="98"/>
      <x:c r="Q181" s="91"/>
      <x:c r="R181" s="88" t="str">
        <x:f>IF(A181="","",IF(M181&gt;=1,"Complete",IF(I181="Blocked","Blocked",IF(G181="","No Due Date",IF(G181&lt;TODAY(),"Overdue",IF(M181+0.1&lt;N181,"At Risk",IF(G181-TODAY()&lt;=7,"Due Soon","On Track")))))))</x:f>
      </x:c>
      <x:c r="S181" s="91"/>
    </x:row>
    <x:row r="182">
      <x:c r="A182" s="90"/>
      <x:c r="B182" s="90"/>
      <x:c r="C182" s="91"/>
      <x:c r="D182" s="90"/>
      <x:c r="E182" s="90"/>
      <x:c r="F182" s="92"/>
      <x:c r="G182" s="92"/>
      <x:c r="H182" s="84" t="str">
        <x:f>IF(A182="","",IF(OR(F182="",G182=""),"",MAX(0,G182-F182+1)))</x:f>
      </x:c>
      <x:c r="I182" s="90"/>
      <x:c r="J182" s="90"/>
      <x:c r="K182" s="90"/>
      <x:c r="L182" s="96"/>
      <x:c r="M182" s="86" t="str">
        <x:f>IF(A182="","",IF(L182&lt;&gt;"",MAX(0,MIN(1,L182)),IF(AND(K182&lt;&gt;"",K182&gt;0,J182&lt;&gt;""),MAX(0,MIN(1,J182/K182)),IF(I182="",0,SUMIF('Lists &amp; Setup'!$A$4:$A$8,I182,'Lists &amp; Setup'!$B$4:$B$8)))))</x:f>
      </x:c>
      <x:c r="N182" s="86" t="str">
        <x:f>IF(A182="","",IF(OR(F182="",G182=""),0,IF(TODAY()&lt;F182,0,IF(TODAY()&gt;=G182,1,(TODAY()-F182+1)/MAX(1,G182-F182+1)))))</x:f>
      </x:c>
      <x:c r="O182" s="86" t="str">
        <x:f>IF(A182="","",M182-N182)</x:f>
      </x:c>
      <x:c r="P182" s="98"/>
      <x:c r="Q182" s="91"/>
      <x:c r="R182" s="88" t="str">
        <x:f>IF(A182="","",IF(M182&gt;=1,"Complete",IF(I182="Blocked","Blocked",IF(G182="","No Due Date",IF(G182&lt;TODAY(),"Overdue",IF(M182+0.1&lt;N182,"At Risk",IF(G182-TODAY()&lt;=7,"Due Soon","On Track")))))))</x:f>
      </x:c>
      <x:c r="S182" s="91"/>
    </x:row>
    <x:row r="183">
      <x:c r="A183" s="90"/>
      <x:c r="B183" s="90"/>
      <x:c r="C183" s="91"/>
      <x:c r="D183" s="90"/>
      <x:c r="E183" s="90"/>
      <x:c r="F183" s="92"/>
      <x:c r="G183" s="92"/>
      <x:c r="H183" s="84" t="str">
        <x:f>IF(A183="","",IF(OR(F183="",G183=""),"",MAX(0,G183-F183+1)))</x:f>
      </x:c>
      <x:c r="I183" s="90"/>
      <x:c r="J183" s="90"/>
      <x:c r="K183" s="90"/>
      <x:c r="L183" s="96"/>
      <x:c r="M183" s="86" t="str">
        <x:f>IF(A183="","",IF(L183&lt;&gt;"",MAX(0,MIN(1,L183)),IF(AND(K183&lt;&gt;"",K183&gt;0,J183&lt;&gt;""),MAX(0,MIN(1,J183/K183)),IF(I183="",0,SUMIF('Lists &amp; Setup'!$A$4:$A$8,I183,'Lists &amp; Setup'!$B$4:$B$8)))))</x:f>
      </x:c>
      <x:c r="N183" s="86" t="str">
        <x:f>IF(A183="","",IF(OR(F183="",G183=""),0,IF(TODAY()&lt;F183,0,IF(TODAY()&gt;=G183,1,(TODAY()-F183+1)/MAX(1,G183-F183+1)))))</x:f>
      </x:c>
      <x:c r="O183" s="86" t="str">
        <x:f>IF(A183="","",M183-N183)</x:f>
      </x:c>
      <x:c r="P183" s="98"/>
      <x:c r="Q183" s="91"/>
      <x:c r="R183" s="88" t="str">
        <x:f>IF(A183="","",IF(M183&gt;=1,"Complete",IF(I183="Blocked","Blocked",IF(G183="","No Due Date",IF(G183&lt;TODAY(),"Overdue",IF(M183+0.1&lt;N183,"At Risk",IF(G183-TODAY()&lt;=7,"Due Soon","On Track")))))))</x:f>
      </x:c>
      <x:c r="S183" s="91"/>
    </x:row>
    <x:row r="184">
      <x:c r="A184" s="90"/>
      <x:c r="B184" s="90"/>
      <x:c r="C184" s="91"/>
      <x:c r="D184" s="90"/>
      <x:c r="E184" s="90"/>
      <x:c r="F184" s="92"/>
      <x:c r="G184" s="92"/>
      <x:c r="H184" s="84" t="str">
        <x:f>IF(A184="","",IF(OR(F184="",G184=""),"",MAX(0,G184-F184+1)))</x:f>
      </x:c>
      <x:c r="I184" s="90"/>
      <x:c r="J184" s="90"/>
      <x:c r="K184" s="90"/>
      <x:c r="L184" s="96"/>
      <x:c r="M184" s="86" t="str">
        <x:f>IF(A184="","",IF(L184&lt;&gt;"",MAX(0,MIN(1,L184)),IF(AND(K184&lt;&gt;"",K184&gt;0,J184&lt;&gt;""),MAX(0,MIN(1,J184/K184)),IF(I184="",0,SUMIF('Lists &amp; Setup'!$A$4:$A$8,I184,'Lists &amp; Setup'!$B$4:$B$8)))))</x:f>
      </x:c>
      <x:c r="N184" s="86" t="str">
        <x:f>IF(A184="","",IF(OR(F184="",G184=""),0,IF(TODAY()&lt;F184,0,IF(TODAY()&gt;=G184,1,(TODAY()-F184+1)/MAX(1,G184-F184+1)))))</x:f>
      </x:c>
      <x:c r="O184" s="86" t="str">
        <x:f>IF(A184="","",M184-N184)</x:f>
      </x:c>
      <x:c r="P184" s="98"/>
      <x:c r="Q184" s="91"/>
      <x:c r="R184" s="88" t="str">
        <x:f>IF(A184="","",IF(M184&gt;=1,"Complete",IF(I184="Blocked","Blocked",IF(G184="","No Due Date",IF(G184&lt;TODAY(),"Overdue",IF(M184+0.1&lt;N184,"At Risk",IF(G184-TODAY()&lt;=7,"Due Soon","On Track")))))))</x:f>
      </x:c>
      <x:c r="S184" s="91"/>
    </x:row>
    <x:row r="185">
      <x:c r="A185" s="90"/>
      <x:c r="B185" s="90"/>
      <x:c r="C185" s="91"/>
      <x:c r="D185" s="90"/>
      <x:c r="E185" s="90"/>
      <x:c r="F185" s="92"/>
      <x:c r="G185" s="92"/>
      <x:c r="H185" s="84" t="str">
        <x:f>IF(A185="","",IF(OR(F185="",G185=""),"",MAX(0,G185-F185+1)))</x:f>
      </x:c>
      <x:c r="I185" s="90"/>
      <x:c r="J185" s="90"/>
      <x:c r="K185" s="90"/>
      <x:c r="L185" s="96"/>
      <x:c r="M185" s="86" t="str">
        <x:f>IF(A185="","",IF(L185&lt;&gt;"",MAX(0,MIN(1,L185)),IF(AND(K185&lt;&gt;"",K185&gt;0,J185&lt;&gt;""),MAX(0,MIN(1,J185/K185)),IF(I185="",0,SUMIF('Lists &amp; Setup'!$A$4:$A$8,I185,'Lists &amp; Setup'!$B$4:$B$8)))))</x:f>
      </x:c>
      <x:c r="N185" s="86" t="str">
        <x:f>IF(A185="","",IF(OR(F185="",G185=""),0,IF(TODAY()&lt;F185,0,IF(TODAY()&gt;=G185,1,(TODAY()-F185+1)/MAX(1,G185-F185+1)))))</x:f>
      </x:c>
      <x:c r="O185" s="86" t="str">
        <x:f>IF(A185="","",M185-N185)</x:f>
      </x:c>
      <x:c r="P185" s="98"/>
      <x:c r="Q185" s="91"/>
      <x:c r="R185" s="88" t="str">
        <x:f>IF(A185="","",IF(M185&gt;=1,"Complete",IF(I185="Blocked","Blocked",IF(G185="","No Due Date",IF(G185&lt;TODAY(),"Overdue",IF(M185+0.1&lt;N185,"At Risk",IF(G185-TODAY()&lt;=7,"Due Soon","On Track")))))))</x:f>
      </x:c>
      <x:c r="S185" s="91"/>
    </x:row>
    <x:row r="186">
      <x:c r="A186" s="90"/>
      <x:c r="B186" s="90"/>
      <x:c r="C186" s="91"/>
      <x:c r="D186" s="90"/>
      <x:c r="E186" s="90"/>
      <x:c r="F186" s="92"/>
      <x:c r="G186" s="92"/>
      <x:c r="H186" s="84" t="str">
        <x:f>IF(A186="","",IF(OR(F186="",G186=""),"",MAX(0,G186-F186+1)))</x:f>
      </x:c>
      <x:c r="I186" s="90"/>
      <x:c r="J186" s="90"/>
      <x:c r="K186" s="90"/>
      <x:c r="L186" s="96"/>
      <x:c r="M186" s="86" t="str">
        <x:f>IF(A186="","",IF(L186&lt;&gt;"",MAX(0,MIN(1,L186)),IF(AND(K186&lt;&gt;"",K186&gt;0,J186&lt;&gt;""),MAX(0,MIN(1,J186/K186)),IF(I186="",0,SUMIF('Lists &amp; Setup'!$A$4:$A$8,I186,'Lists &amp; Setup'!$B$4:$B$8)))))</x:f>
      </x:c>
      <x:c r="N186" s="86" t="str">
        <x:f>IF(A186="","",IF(OR(F186="",G186=""),0,IF(TODAY()&lt;F186,0,IF(TODAY()&gt;=G186,1,(TODAY()-F186+1)/MAX(1,G186-F186+1)))))</x:f>
      </x:c>
      <x:c r="O186" s="86" t="str">
        <x:f>IF(A186="","",M186-N186)</x:f>
      </x:c>
      <x:c r="P186" s="98"/>
      <x:c r="Q186" s="91"/>
      <x:c r="R186" s="88" t="str">
        <x:f>IF(A186="","",IF(M186&gt;=1,"Complete",IF(I186="Blocked","Blocked",IF(G186="","No Due Date",IF(G186&lt;TODAY(),"Overdue",IF(M186+0.1&lt;N186,"At Risk",IF(G186-TODAY()&lt;=7,"Due Soon","On Track")))))))</x:f>
      </x:c>
      <x:c r="S186" s="91"/>
    </x:row>
    <x:row r="187">
      <x:c r="A187" s="90"/>
      <x:c r="B187" s="90"/>
      <x:c r="C187" s="91"/>
      <x:c r="D187" s="90"/>
      <x:c r="E187" s="90"/>
      <x:c r="F187" s="92"/>
      <x:c r="G187" s="92"/>
      <x:c r="H187" s="84" t="str">
        <x:f>IF(A187="","",IF(OR(F187="",G187=""),"",MAX(0,G187-F187+1)))</x:f>
      </x:c>
      <x:c r="I187" s="90"/>
      <x:c r="J187" s="90"/>
      <x:c r="K187" s="90"/>
      <x:c r="L187" s="96"/>
      <x:c r="M187" s="86" t="str">
        <x:f>IF(A187="","",IF(L187&lt;&gt;"",MAX(0,MIN(1,L187)),IF(AND(K187&lt;&gt;"",K187&gt;0,J187&lt;&gt;""),MAX(0,MIN(1,J187/K187)),IF(I187="",0,SUMIF('Lists &amp; Setup'!$A$4:$A$8,I187,'Lists &amp; Setup'!$B$4:$B$8)))))</x:f>
      </x:c>
      <x:c r="N187" s="86" t="str">
        <x:f>IF(A187="","",IF(OR(F187="",G187=""),0,IF(TODAY()&lt;F187,0,IF(TODAY()&gt;=G187,1,(TODAY()-F187+1)/MAX(1,G187-F187+1)))))</x:f>
      </x:c>
      <x:c r="O187" s="86" t="str">
        <x:f>IF(A187="","",M187-N187)</x:f>
      </x:c>
      <x:c r="P187" s="98"/>
      <x:c r="Q187" s="91"/>
      <x:c r="R187" s="88" t="str">
        <x:f>IF(A187="","",IF(M187&gt;=1,"Complete",IF(I187="Blocked","Blocked",IF(G187="","No Due Date",IF(G187&lt;TODAY(),"Overdue",IF(M187+0.1&lt;N187,"At Risk",IF(G187-TODAY()&lt;=7,"Due Soon","On Track")))))))</x:f>
      </x:c>
      <x:c r="S187" s="91"/>
    </x:row>
    <x:row r="188">
      <x:c r="A188" s="90"/>
      <x:c r="B188" s="90"/>
      <x:c r="C188" s="91"/>
      <x:c r="D188" s="90"/>
      <x:c r="E188" s="90"/>
      <x:c r="F188" s="92"/>
      <x:c r="G188" s="92"/>
      <x:c r="H188" s="84" t="str">
        <x:f>IF(A188="","",IF(OR(F188="",G188=""),"",MAX(0,G188-F188+1)))</x:f>
      </x:c>
      <x:c r="I188" s="90"/>
      <x:c r="J188" s="90"/>
      <x:c r="K188" s="90"/>
      <x:c r="L188" s="96"/>
      <x:c r="M188" s="86" t="str">
        <x:f>IF(A188="","",IF(L188&lt;&gt;"",MAX(0,MIN(1,L188)),IF(AND(K188&lt;&gt;"",K188&gt;0,J188&lt;&gt;""),MAX(0,MIN(1,J188/K188)),IF(I188="",0,SUMIF('Lists &amp; Setup'!$A$4:$A$8,I188,'Lists &amp; Setup'!$B$4:$B$8)))))</x:f>
      </x:c>
      <x:c r="N188" s="86" t="str">
        <x:f>IF(A188="","",IF(OR(F188="",G188=""),0,IF(TODAY()&lt;F188,0,IF(TODAY()&gt;=G188,1,(TODAY()-F188+1)/MAX(1,G188-F188+1)))))</x:f>
      </x:c>
      <x:c r="O188" s="86" t="str">
        <x:f>IF(A188="","",M188-N188)</x:f>
      </x:c>
      <x:c r="P188" s="98"/>
      <x:c r="Q188" s="91"/>
      <x:c r="R188" s="88" t="str">
        <x:f>IF(A188="","",IF(M188&gt;=1,"Complete",IF(I188="Blocked","Blocked",IF(G188="","No Due Date",IF(G188&lt;TODAY(),"Overdue",IF(M188+0.1&lt;N188,"At Risk",IF(G188-TODAY()&lt;=7,"Due Soon","On Track")))))))</x:f>
      </x:c>
      <x:c r="S188" s="91"/>
    </x:row>
    <x:row r="189">
      <x:c r="A189" s="90"/>
      <x:c r="B189" s="90"/>
      <x:c r="C189" s="91"/>
      <x:c r="D189" s="90"/>
      <x:c r="E189" s="90"/>
      <x:c r="F189" s="92"/>
      <x:c r="G189" s="92"/>
      <x:c r="H189" s="84" t="str">
        <x:f>IF(A189="","",IF(OR(F189="",G189=""),"",MAX(0,G189-F189+1)))</x:f>
      </x:c>
      <x:c r="I189" s="90"/>
      <x:c r="J189" s="90"/>
      <x:c r="K189" s="90"/>
      <x:c r="L189" s="96"/>
      <x:c r="M189" s="86" t="str">
        <x:f>IF(A189="","",IF(L189&lt;&gt;"",MAX(0,MIN(1,L189)),IF(AND(K189&lt;&gt;"",K189&gt;0,J189&lt;&gt;""),MAX(0,MIN(1,J189/K189)),IF(I189="",0,SUMIF('Lists &amp; Setup'!$A$4:$A$8,I189,'Lists &amp; Setup'!$B$4:$B$8)))))</x:f>
      </x:c>
      <x:c r="N189" s="86" t="str">
        <x:f>IF(A189="","",IF(OR(F189="",G189=""),0,IF(TODAY()&lt;F189,0,IF(TODAY()&gt;=G189,1,(TODAY()-F189+1)/MAX(1,G189-F189+1)))))</x:f>
      </x:c>
      <x:c r="O189" s="86" t="str">
        <x:f>IF(A189="","",M189-N189)</x:f>
      </x:c>
      <x:c r="P189" s="98"/>
      <x:c r="Q189" s="91"/>
      <x:c r="R189" s="88" t="str">
        <x:f>IF(A189="","",IF(M189&gt;=1,"Complete",IF(I189="Blocked","Blocked",IF(G189="","No Due Date",IF(G189&lt;TODAY(),"Overdue",IF(M189+0.1&lt;N189,"At Risk",IF(G189-TODAY()&lt;=7,"Due Soon","On Track")))))))</x:f>
      </x:c>
      <x:c r="S189" s="91"/>
    </x:row>
    <x:row r="190">
      <x:c r="A190" s="90"/>
      <x:c r="B190" s="90"/>
      <x:c r="C190" s="91"/>
      <x:c r="D190" s="90"/>
      <x:c r="E190" s="90"/>
      <x:c r="F190" s="92"/>
      <x:c r="G190" s="92"/>
      <x:c r="H190" s="84" t="str">
        <x:f>IF(A190="","",IF(OR(F190="",G190=""),"",MAX(0,G190-F190+1)))</x:f>
      </x:c>
      <x:c r="I190" s="90"/>
      <x:c r="J190" s="90"/>
      <x:c r="K190" s="90"/>
      <x:c r="L190" s="96"/>
      <x:c r="M190" s="86" t="str">
        <x:f>IF(A190="","",IF(L190&lt;&gt;"",MAX(0,MIN(1,L190)),IF(AND(K190&lt;&gt;"",K190&gt;0,J190&lt;&gt;""),MAX(0,MIN(1,J190/K190)),IF(I190="",0,SUMIF('Lists &amp; Setup'!$A$4:$A$8,I190,'Lists &amp; Setup'!$B$4:$B$8)))))</x:f>
      </x:c>
      <x:c r="N190" s="86" t="str">
        <x:f>IF(A190="","",IF(OR(F190="",G190=""),0,IF(TODAY()&lt;F190,0,IF(TODAY()&gt;=G190,1,(TODAY()-F190+1)/MAX(1,G190-F190+1)))))</x:f>
      </x:c>
      <x:c r="O190" s="86" t="str">
        <x:f>IF(A190="","",M190-N190)</x:f>
      </x:c>
      <x:c r="P190" s="98"/>
      <x:c r="Q190" s="91"/>
      <x:c r="R190" s="88" t="str">
        <x:f>IF(A190="","",IF(M190&gt;=1,"Complete",IF(I190="Blocked","Blocked",IF(G190="","No Due Date",IF(G190&lt;TODAY(),"Overdue",IF(M190+0.1&lt;N190,"At Risk",IF(G190-TODAY()&lt;=7,"Due Soon","On Track")))))))</x:f>
      </x:c>
      <x:c r="S190" s="91"/>
    </x:row>
    <x:row r="191">
      <x:c r="A191" s="90"/>
      <x:c r="B191" s="90"/>
      <x:c r="C191" s="91"/>
      <x:c r="D191" s="90"/>
      <x:c r="E191" s="90"/>
      <x:c r="F191" s="92"/>
      <x:c r="G191" s="92"/>
      <x:c r="H191" s="84" t="str">
        <x:f>IF(A191="","",IF(OR(F191="",G191=""),"",MAX(0,G191-F191+1)))</x:f>
      </x:c>
      <x:c r="I191" s="90"/>
      <x:c r="J191" s="90"/>
      <x:c r="K191" s="90"/>
      <x:c r="L191" s="96"/>
      <x:c r="M191" s="86" t="str">
        <x:f>IF(A191="","",IF(L191&lt;&gt;"",MAX(0,MIN(1,L191)),IF(AND(K191&lt;&gt;"",K191&gt;0,J191&lt;&gt;""),MAX(0,MIN(1,J191/K191)),IF(I191="",0,SUMIF('Lists &amp; Setup'!$A$4:$A$8,I191,'Lists &amp; Setup'!$B$4:$B$8)))))</x:f>
      </x:c>
      <x:c r="N191" s="86" t="str">
        <x:f>IF(A191="","",IF(OR(F191="",G191=""),0,IF(TODAY()&lt;F191,0,IF(TODAY()&gt;=G191,1,(TODAY()-F191+1)/MAX(1,G191-F191+1)))))</x:f>
      </x:c>
      <x:c r="O191" s="86" t="str">
        <x:f>IF(A191="","",M191-N191)</x:f>
      </x:c>
      <x:c r="P191" s="98"/>
      <x:c r="Q191" s="91"/>
      <x:c r="R191" s="88" t="str">
        <x:f>IF(A191="","",IF(M191&gt;=1,"Complete",IF(I191="Blocked","Blocked",IF(G191="","No Due Date",IF(G191&lt;TODAY(),"Overdue",IF(M191+0.1&lt;N191,"At Risk",IF(G191-TODAY()&lt;=7,"Due Soon","On Track")))))))</x:f>
      </x:c>
      <x:c r="S191" s="91"/>
    </x:row>
    <x:row r="192">
      <x:c r="A192" s="90"/>
      <x:c r="B192" s="90"/>
      <x:c r="C192" s="91"/>
      <x:c r="D192" s="90"/>
      <x:c r="E192" s="90"/>
      <x:c r="F192" s="92"/>
      <x:c r="G192" s="92"/>
      <x:c r="H192" s="84" t="str">
        <x:f>IF(A192="","",IF(OR(F192="",G192=""),"",MAX(0,G192-F192+1)))</x:f>
      </x:c>
      <x:c r="I192" s="90"/>
      <x:c r="J192" s="90"/>
      <x:c r="K192" s="90"/>
      <x:c r="L192" s="96"/>
      <x:c r="M192" s="86" t="str">
        <x:f>IF(A192="","",IF(L192&lt;&gt;"",MAX(0,MIN(1,L192)),IF(AND(K192&lt;&gt;"",K192&gt;0,J192&lt;&gt;""),MAX(0,MIN(1,J192/K192)),IF(I192="",0,SUMIF('Lists &amp; Setup'!$A$4:$A$8,I192,'Lists &amp; Setup'!$B$4:$B$8)))))</x:f>
      </x:c>
      <x:c r="N192" s="86" t="str">
        <x:f>IF(A192="","",IF(OR(F192="",G192=""),0,IF(TODAY()&lt;F192,0,IF(TODAY()&gt;=G192,1,(TODAY()-F192+1)/MAX(1,G192-F192+1)))))</x:f>
      </x:c>
      <x:c r="O192" s="86" t="str">
        <x:f>IF(A192="","",M192-N192)</x:f>
      </x:c>
      <x:c r="P192" s="98"/>
      <x:c r="Q192" s="91"/>
      <x:c r="R192" s="88" t="str">
        <x:f>IF(A192="","",IF(M192&gt;=1,"Complete",IF(I192="Blocked","Blocked",IF(G192="","No Due Date",IF(G192&lt;TODAY(),"Overdue",IF(M192+0.1&lt;N192,"At Risk",IF(G192-TODAY()&lt;=7,"Due Soon","On Track")))))))</x:f>
      </x:c>
      <x:c r="S192" s="91"/>
    </x:row>
    <x:row r="193">
      <x:c r="A193" s="90"/>
      <x:c r="B193" s="90"/>
      <x:c r="C193" s="91"/>
      <x:c r="D193" s="90"/>
      <x:c r="E193" s="90"/>
      <x:c r="F193" s="92"/>
      <x:c r="G193" s="92"/>
      <x:c r="H193" s="84" t="str">
        <x:f>IF(A193="","",IF(OR(F193="",G193=""),"",MAX(0,G193-F193+1)))</x:f>
      </x:c>
      <x:c r="I193" s="90"/>
      <x:c r="J193" s="90"/>
      <x:c r="K193" s="90"/>
      <x:c r="L193" s="96"/>
      <x:c r="M193" s="86" t="str">
        <x:f>IF(A193="","",IF(L193&lt;&gt;"",MAX(0,MIN(1,L193)),IF(AND(K193&lt;&gt;"",K193&gt;0,J193&lt;&gt;""),MAX(0,MIN(1,J193/K193)),IF(I193="",0,SUMIF('Lists &amp; Setup'!$A$4:$A$8,I193,'Lists &amp; Setup'!$B$4:$B$8)))))</x:f>
      </x:c>
      <x:c r="N193" s="86" t="str">
        <x:f>IF(A193="","",IF(OR(F193="",G193=""),0,IF(TODAY()&lt;F193,0,IF(TODAY()&gt;=G193,1,(TODAY()-F193+1)/MAX(1,G193-F193+1)))))</x:f>
      </x:c>
      <x:c r="O193" s="86" t="str">
        <x:f>IF(A193="","",M193-N193)</x:f>
      </x:c>
      <x:c r="P193" s="98"/>
      <x:c r="Q193" s="91"/>
      <x:c r="R193" s="88" t="str">
        <x:f>IF(A193="","",IF(M193&gt;=1,"Complete",IF(I193="Blocked","Blocked",IF(G193="","No Due Date",IF(G193&lt;TODAY(),"Overdue",IF(M193+0.1&lt;N193,"At Risk",IF(G193-TODAY()&lt;=7,"Due Soon","On Track")))))))</x:f>
      </x:c>
      <x:c r="S193" s="91"/>
    </x:row>
    <x:row r="194">
      <x:c r="A194" s="90"/>
      <x:c r="B194" s="90"/>
      <x:c r="C194" s="91"/>
      <x:c r="D194" s="90"/>
      <x:c r="E194" s="90"/>
      <x:c r="F194" s="92"/>
      <x:c r="G194" s="92"/>
      <x:c r="H194" s="84" t="str">
        <x:f>IF(A194="","",IF(OR(F194="",G194=""),"",MAX(0,G194-F194+1)))</x:f>
      </x:c>
      <x:c r="I194" s="90"/>
      <x:c r="J194" s="90"/>
      <x:c r="K194" s="90"/>
      <x:c r="L194" s="96"/>
      <x:c r="M194" s="86" t="str">
        <x:f>IF(A194="","",IF(L194&lt;&gt;"",MAX(0,MIN(1,L194)),IF(AND(K194&lt;&gt;"",K194&gt;0,J194&lt;&gt;""),MAX(0,MIN(1,J194/K194)),IF(I194="",0,SUMIF('Lists &amp; Setup'!$A$4:$A$8,I194,'Lists &amp; Setup'!$B$4:$B$8)))))</x:f>
      </x:c>
      <x:c r="N194" s="86" t="str">
        <x:f>IF(A194="","",IF(OR(F194="",G194=""),0,IF(TODAY()&lt;F194,0,IF(TODAY()&gt;=G194,1,(TODAY()-F194+1)/MAX(1,G194-F194+1)))))</x:f>
      </x:c>
      <x:c r="O194" s="86" t="str">
        <x:f>IF(A194="","",M194-N194)</x:f>
      </x:c>
      <x:c r="P194" s="98"/>
      <x:c r="Q194" s="91"/>
      <x:c r="R194" s="88" t="str">
        <x:f>IF(A194="","",IF(M194&gt;=1,"Complete",IF(I194="Blocked","Blocked",IF(G194="","No Due Date",IF(G194&lt;TODAY(),"Overdue",IF(M194+0.1&lt;N194,"At Risk",IF(G194-TODAY()&lt;=7,"Due Soon","On Track")))))))</x:f>
      </x:c>
      <x:c r="S194" s="91"/>
    </x:row>
    <x:row r="195">
      <x:c r="A195" s="90"/>
      <x:c r="B195" s="90"/>
      <x:c r="C195" s="91"/>
      <x:c r="D195" s="90"/>
      <x:c r="E195" s="90"/>
      <x:c r="F195" s="92"/>
      <x:c r="G195" s="92"/>
      <x:c r="H195" s="84" t="str">
        <x:f>IF(A195="","",IF(OR(F195="",G195=""),"",MAX(0,G195-F195+1)))</x:f>
      </x:c>
      <x:c r="I195" s="90"/>
      <x:c r="J195" s="90"/>
      <x:c r="K195" s="90"/>
      <x:c r="L195" s="96"/>
      <x:c r="M195" s="86" t="str">
        <x:f>IF(A195="","",IF(L195&lt;&gt;"",MAX(0,MIN(1,L195)),IF(AND(K195&lt;&gt;"",K195&gt;0,J195&lt;&gt;""),MAX(0,MIN(1,J195/K195)),IF(I195="",0,SUMIF('Lists &amp; Setup'!$A$4:$A$8,I195,'Lists &amp; Setup'!$B$4:$B$8)))))</x:f>
      </x:c>
      <x:c r="N195" s="86" t="str">
        <x:f>IF(A195="","",IF(OR(F195="",G195=""),0,IF(TODAY()&lt;F195,0,IF(TODAY()&gt;=G195,1,(TODAY()-F195+1)/MAX(1,G195-F195+1)))))</x:f>
      </x:c>
      <x:c r="O195" s="86" t="str">
        <x:f>IF(A195="","",M195-N195)</x:f>
      </x:c>
      <x:c r="P195" s="98"/>
      <x:c r="Q195" s="91"/>
      <x:c r="R195" s="88" t="str">
        <x:f>IF(A195="","",IF(M195&gt;=1,"Complete",IF(I195="Blocked","Blocked",IF(G195="","No Due Date",IF(G195&lt;TODAY(),"Overdue",IF(M195+0.1&lt;N195,"At Risk",IF(G195-TODAY()&lt;=7,"Due Soon","On Track")))))))</x:f>
      </x:c>
      <x:c r="S195" s="91"/>
    </x:row>
    <x:row r="196">
      <x:c r="A196" s="90"/>
      <x:c r="B196" s="90"/>
      <x:c r="C196" s="91"/>
      <x:c r="D196" s="90"/>
      <x:c r="E196" s="90"/>
      <x:c r="F196" s="92"/>
      <x:c r="G196" s="92"/>
      <x:c r="H196" s="84" t="str">
        <x:f>IF(A196="","",IF(OR(F196="",G196=""),"",MAX(0,G196-F196+1)))</x:f>
      </x:c>
      <x:c r="I196" s="90"/>
      <x:c r="J196" s="90"/>
      <x:c r="K196" s="90"/>
      <x:c r="L196" s="96"/>
      <x:c r="M196" s="86" t="str">
        <x:f>IF(A196="","",IF(L196&lt;&gt;"",MAX(0,MIN(1,L196)),IF(AND(K196&lt;&gt;"",K196&gt;0,J196&lt;&gt;""),MAX(0,MIN(1,J196/K196)),IF(I196="",0,SUMIF('Lists &amp; Setup'!$A$4:$A$8,I196,'Lists &amp; Setup'!$B$4:$B$8)))))</x:f>
      </x:c>
      <x:c r="N196" s="86" t="str">
        <x:f>IF(A196="","",IF(OR(F196="",G196=""),0,IF(TODAY()&lt;F196,0,IF(TODAY()&gt;=G196,1,(TODAY()-F196+1)/MAX(1,G196-F196+1)))))</x:f>
      </x:c>
      <x:c r="O196" s="86" t="str">
        <x:f>IF(A196="","",M196-N196)</x:f>
      </x:c>
      <x:c r="P196" s="98"/>
      <x:c r="Q196" s="91"/>
      <x:c r="R196" s="88" t="str">
        <x:f>IF(A196="","",IF(M196&gt;=1,"Complete",IF(I196="Blocked","Blocked",IF(G196="","No Due Date",IF(G196&lt;TODAY(),"Overdue",IF(M196+0.1&lt;N196,"At Risk",IF(G196-TODAY()&lt;=7,"Due Soon","On Track")))))))</x:f>
      </x:c>
      <x:c r="S196" s="91"/>
    </x:row>
    <x:row r="197">
      <x:c r="A197" s="90"/>
      <x:c r="B197" s="90"/>
      <x:c r="C197" s="91"/>
      <x:c r="D197" s="90"/>
      <x:c r="E197" s="90"/>
      <x:c r="F197" s="92"/>
      <x:c r="G197" s="92"/>
      <x:c r="H197" s="84" t="str">
        <x:f>IF(A197="","",IF(OR(F197="",G197=""),"",MAX(0,G197-F197+1)))</x:f>
      </x:c>
      <x:c r="I197" s="90"/>
      <x:c r="J197" s="90"/>
      <x:c r="K197" s="90"/>
      <x:c r="L197" s="96"/>
      <x:c r="M197" s="86" t="str">
        <x:f>IF(A197="","",IF(L197&lt;&gt;"",MAX(0,MIN(1,L197)),IF(AND(K197&lt;&gt;"",K197&gt;0,J197&lt;&gt;""),MAX(0,MIN(1,J197/K197)),IF(I197="",0,SUMIF('Lists &amp; Setup'!$A$4:$A$8,I197,'Lists &amp; Setup'!$B$4:$B$8)))))</x:f>
      </x:c>
      <x:c r="N197" s="86" t="str">
        <x:f>IF(A197="","",IF(OR(F197="",G197=""),0,IF(TODAY()&lt;F197,0,IF(TODAY()&gt;=G197,1,(TODAY()-F197+1)/MAX(1,G197-F197+1)))))</x:f>
      </x:c>
      <x:c r="O197" s="86" t="str">
        <x:f>IF(A197="","",M197-N197)</x:f>
      </x:c>
      <x:c r="P197" s="98"/>
      <x:c r="Q197" s="91"/>
      <x:c r="R197" s="88" t="str">
        <x:f>IF(A197="","",IF(M197&gt;=1,"Complete",IF(I197="Blocked","Blocked",IF(G197="","No Due Date",IF(G197&lt;TODAY(),"Overdue",IF(M197+0.1&lt;N197,"At Risk",IF(G197-TODAY()&lt;=7,"Due Soon","On Track")))))))</x:f>
      </x:c>
      <x:c r="S197" s="91"/>
    </x:row>
    <x:row r="198">
      <x:c r="A198" s="90"/>
      <x:c r="B198" s="90"/>
      <x:c r="C198" s="91"/>
      <x:c r="D198" s="90"/>
      <x:c r="E198" s="90"/>
      <x:c r="F198" s="92"/>
      <x:c r="G198" s="92"/>
      <x:c r="H198" s="84" t="str">
        <x:f>IF(A198="","",IF(OR(F198="",G198=""),"",MAX(0,G198-F198+1)))</x:f>
      </x:c>
      <x:c r="I198" s="90"/>
      <x:c r="J198" s="90"/>
      <x:c r="K198" s="90"/>
      <x:c r="L198" s="96"/>
      <x:c r="M198" s="86" t="str">
        <x:f>IF(A198="","",IF(L198&lt;&gt;"",MAX(0,MIN(1,L198)),IF(AND(K198&lt;&gt;"",K198&gt;0,J198&lt;&gt;""),MAX(0,MIN(1,J198/K198)),IF(I198="",0,SUMIF('Lists &amp; Setup'!$A$4:$A$8,I198,'Lists &amp; Setup'!$B$4:$B$8)))))</x:f>
      </x:c>
      <x:c r="N198" s="86" t="str">
        <x:f>IF(A198="","",IF(OR(F198="",G198=""),0,IF(TODAY()&lt;F198,0,IF(TODAY()&gt;=G198,1,(TODAY()-F198+1)/MAX(1,G198-F198+1)))))</x:f>
      </x:c>
      <x:c r="O198" s="86" t="str">
        <x:f>IF(A198="","",M198-N198)</x:f>
      </x:c>
      <x:c r="P198" s="98"/>
      <x:c r="Q198" s="91"/>
      <x:c r="R198" s="88" t="str">
        <x:f>IF(A198="","",IF(M198&gt;=1,"Complete",IF(I198="Blocked","Blocked",IF(G198="","No Due Date",IF(G198&lt;TODAY(),"Overdue",IF(M198+0.1&lt;N198,"At Risk",IF(G198-TODAY()&lt;=7,"Due Soon","On Track")))))))</x:f>
      </x:c>
      <x:c r="S198" s="91"/>
    </x:row>
    <x:row r="199">
      <x:c r="A199" s="90"/>
      <x:c r="B199" s="90"/>
      <x:c r="C199" s="91"/>
      <x:c r="D199" s="90"/>
      <x:c r="E199" s="90"/>
      <x:c r="F199" s="92"/>
      <x:c r="G199" s="92"/>
      <x:c r="H199" s="84" t="str">
        <x:f>IF(A199="","",IF(OR(F199="",G199=""),"",MAX(0,G199-F199+1)))</x:f>
      </x:c>
      <x:c r="I199" s="90"/>
      <x:c r="J199" s="90"/>
      <x:c r="K199" s="90"/>
      <x:c r="L199" s="96"/>
      <x:c r="M199" s="86" t="str">
        <x:f>IF(A199="","",IF(L199&lt;&gt;"",MAX(0,MIN(1,L199)),IF(AND(K199&lt;&gt;"",K199&gt;0,J199&lt;&gt;""),MAX(0,MIN(1,J199/K199)),IF(I199="",0,SUMIF('Lists &amp; Setup'!$A$4:$A$8,I199,'Lists &amp; Setup'!$B$4:$B$8)))))</x:f>
      </x:c>
      <x:c r="N199" s="86" t="str">
        <x:f>IF(A199="","",IF(OR(F199="",G199=""),0,IF(TODAY()&lt;F199,0,IF(TODAY()&gt;=G199,1,(TODAY()-F199+1)/MAX(1,G199-F199+1)))))</x:f>
      </x:c>
      <x:c r="O199" s="86" t="str">
        <x:f>IF(A199="","",M199-N199)</x:f>
      </x:c>
      <x:c r="P199" s="98"/>
      <x:c r="Q199" s="91"/>
      <x:c r="R199" s="88" t="str">
        <x:f>IF(A199="","",IF(M199&gt;=1,"Complete",IF(I199="Blocked","Blocked",IF(G199="","No Due Date",IF(G199&lt;TODAY(),"Overdue",IF(M199+0.1&lt;N199,"At Risk",IF(G199-TODAY()&lt;=7,"Due Soon","On Track")))))))</x:f>
      </x:c>
      <x:c r="S199" s="91"/>
    </x:row>
    <x:row r="200">
      <x:c r="A200" s="90"/>
      <x:c r="B200" s="90"/>
      <x:c r="C200" s="91"/>
      <x:c r="D200" s="90"/>
      <x:c r="E200" s="90"/>
      <x:c r="F200" s="92"/>
      <x:c r="G200" s="92"/>
      <x:c r="H200" s="84" t="str">
        <x:f>IF(A200="","",IF(OR(F200="",G200=""),"",MAX(0,G200-F200+1)))</x:f>
      </x:c>
      <x:c r="I200" s="90"/>
      <x:c r="J200" s="90"/>
      <x:c r="K200" s="90"/>
      <x:c r="L200" s="96"/>
      <x:c r="M200" s="86" t="str">
        <x:f>IF(A200="","",IF(L200&lt;&gt;"",MAX(0,MIN(1,L200)),IF(AND(K200&lt;&gt;"",K200&gt;0,J200&lt;&gt;""),MAX(0,MIN(1,J200/K200)),IF(I200="",0,SUMIF('Lists &amp; Setup'!$A$4:$A$8,I200,'Lists &amp; Setup'!$B$4:$B$8)))))</x:f>
      </x:c>
      <x:c r="N200" s="86" t="str">
        <x:f>IF(A200="","",IF(OR(F200="",G200=""),0,IF(TODAY()&lt;F200,0,IF(TODAY()&gt;=G200,1,(TODAY()-F200+1)/MAX(1,G200-F200+1)))))</x:f>
      </x:c>
      <x:c r="O200" s="86" t="str">
        <x:f>IF(A200="","",M200-N200)</x:f>
      </x:c>
      <x:c r="P200" s="98"/>
      <x:c r="Q200" s="91"/>
      <x:c r="R200" s="88" t="str">
        <x:f>IF(A200="","",IF(M200&gt;=1,"Complete",IF(I200="Blocked","Blocked",IF(G200="","No Due Date",IF(G200&lt;TODAY(),"Overdue",IF(M200+0.1&lt;N200,"At Risk",IF(G200-TODAY()&lt;=7,"Due Soon","On Track")))))))</x:f>
      </x:c>
      <x:c r="S200" s="91"/>
    </x:row>
    <x:row r="201">
      <x:c r="A201" s="90"/>
      <x:c r="B201" s="90"/>
      <x:c r="C201" s="91"/>
      <x:c r="D201" s="90"/>
      <x:c r="E201" s="90"/>
      <x:c r="F201" s="92"/>
      <x:c r="G201" s="92"/>
      <x:c r="H201" s="84" t="str">
        <x:f>IF(A201="","",IF(OR(F201="",G201=""),"",MAX(0,G201-F201+1)))</x:f>
      </x:c>
      <x:c r="I201" s="90"/>
      <x:c r="J201" s="90"/>
      <x:c r="K201" s="90"/>
      <x:c r="L201" s="96"/>
      <x:c r="M201" s="86" t="str">
        <x:f>IF(A201="","",IF(L201&lt;&gt;"",MAX(0,MIN(1,L201)),IF(AND(K201&lt;&gt;"",K201&gt;0,J201&lt;&gt;""),MAX(0,MIN(1,J201/K201)),IF(I201="",0,SUMIF('Lists &amp; Setup'!$A$4:$A$8,I201,'Lists &amp; Setup'!$B$4:$B$8)))))</x:f>
      </x:c>
      <x:c r="N201" s="86" t="str">
        <x:f>IF(A201="","",IF(OR(F201="",G201=""),0,IF(TODAY()&lt;F201,0,IF(TODAY()&gt;=G201,1,(TODAY()-F201+1)/MAX(1,G201-F201+1)))))</x:f>
      </x:c>
      <x:c r="O201" s="86" t="str">
        <x:f>IF(A201="","",M201-N201)</x:f>
      </x:c>
      <x:c r="P201" s="98"/>
      <x:c r="Q201" s="91"/>
      <x:c r="R201" s="88" t="str">
        <x:f>IF(A201="","",IF(M201&gt;=1,"Complete",IF(I201="Blocked","Blocked",IF(G201="","No Due Date",IF(G201&lt;TODAY(),"Overdue",IF(M201+0.1&lt;N201,"At Risk",IF(G201-TODAY()&lt;=7,"Due Soon","On Track")))))))</x:f>
      </x:c>
      <x:c r="S201" s="91"/>
    </x:row>
    <x:row r="202">
      <x:c r="A202" s="90"/>
      <x:c r="B202" s="90"/>
      <x:c r="C202" s="91"/>
      <x:c r="D202" s="90"/>
      <x:c r="E202" s="90"/>
      <x:c r="F202" s="92"/>
      <x:c r="G202" s="92"/>
      <x:c r="H202" s="84" t="str">
        <x:f>IF(A202="","",IF(OR(F202="",G202=""),"",MAX(0,G202-F202+1)))</x:f>
      </x:c>
      <x:c r="I202" s="90"/>
      <x:c r="J202" s="90"/>
      <x:c r="K202" s="90"/>
      <x:c r="L202" s="96"/>
      <x:c r="M202" s="86" t="str">
        <x:f>IF(A202="","",IF(L202&lt;&gt;"",MAX(0,MIN(1,L202)),IF(AND(K202&lt;&gt;"",K202&gt;0,J202&lt;&gt;""),MAX(0,MIN(1,J202/K202)),IF(I202="",0,SUMIF('Lists &amp; Setup'!$A$4:$A$8,I202,'Lists &amp; Setup'!$B$4:$B$8)))))</x:f>
      </x:c>
      <x:c r="N202" s="86" t="str">
        <x:f>IF(A202="","",IF(OR(F202="",G202=""),0,IF(TODAY()&lt;F202,0,IF(TODAY()&gt;=G202,1,(TODAY()-F202+1)/MAX(1,G202-F202+1)))))</x:f>
      </x:c>
      <x:c r="O202" s="86" t="str">
        <x:f>IF(A202="","",M202-N202)</x:f>
      </x:c>
      <x:c r="P202" s="98"/>
      <x:c r="Q202" s="91"/>
      <x:c r="R202" s="88" t="str">
        <x:f>IF(A202="","",IF(M202&gt;=1,"Complete",IF(I202="Blocked","Blocked",IF(G202="","No Due Date",IF(G202&lt;TODAY(),"Overdue",IF(M202+0.1&lt;N202,"At Risk",IF(G202-TODAY()&lt;=7,"Due Soon","On Track")))))))</x:f>
      </x:c>
      <x:c r="S202" s="91"/>
    </x:row>
    <x:row r="203">
      <x:c r="A203" s="90"/>
      <x:c r="B203" s="90"/>
      <x:c r="C203" s="91"/>
      <x:c r="D203" s="90"/>
      <x:c r="E203" s="90"/>
      <x:c r="F203" s="92"/>
      <x:c r="G203" s="92"/>
      <x:c r="H203" s="84" t="str">
        <x:f>IF(A203="","",IF(OR(F203="",G203=""),"",MAX(0,G203-F203+1)))</x:f>
      </x:c>
      <x:c r="I203" s="90"/>
      <x:c r="J203" s="90"/>
      <x:c r="K203" s="90"/>
      <x:c r="L203" s="96"/>
      <x:c r="M203" s="86" t="str">
        <x:f>IF(A203="","",IF(L203&lt;&gt;"",MAX(0,MIN(1,L203)),IF(AND(K203&lt;&gt;"",K203&gt;0,J203&lt;&gt;""),MAX(0,MIN(1,J203/K203)),IF(I203="",0,SUMIF('Lists &amp; Setup'!$A$4:$A$8,I203,'Lists &amp; Setup'!$B$4:$B$8)))))</x:f>
      </x:c>
      <x:c r="N203" s="86" t="str">
        <x:f>IF(A203="","",IF(OR(F203="",G203=""),0,IF(TODAY()&lt;F203,0,IF(TODAY()&gt;=G203,1,(TODAY()-F203+1)/MAX(1,G203-F203+1)))))</x:f>
      </x:c>
      <x:c r="O203" s="86" t="str">
        <x:f>IF(A203="","",M203-N203)</x:f>
      </x:c>
      <x:c r="P203" s="98"/>
      <x:c r="Q203" s="91"/>
      <x:c r="R203" s="88" t="str">
        <x:f>IF(A203="","",IF(M203&gt;=1,"Complete",IF(I203="Blocked","Blocked",IF(G203="","No Due Date",IF(G203&lt;TODAY(),"Overdue",IF(M203+0.1&lt;N203,"At Risk",IF(G203-TODAY()&lt;=7,"Due Soon","On Track")))))))</x:f>
      </x:c>
      <x:c r="S203" s="91"/>
    </x:row>
    <x:row r="204">
      <x:c r="A204" s="90"/>
      <x:c r="B204" s="90"/>
      <x:c r="C204" s="91"/>
      <x:c r="D204" s="90"/>
      <x:c r="E204" s="90"/>
      <x:c r="F204" s="92"/>
      <x:c r="G204" s="92"/>
      <x:c r="H204" s="84" t="str">
        <x:f>IF(A204="","",IF(OR(F204="",G204=""),"",MAX(0,G204-F204+1)))</x:f>
      </x:c>
      <x:c r="I204" s="90"/>
      <x:c r="J204" s="90"/>
      <x:c r="K204" s="90"/>
      <x:c r="L204" s="96"/>
      <x:c r="M204" s="86" t="str">
        <x:f>IF(A204="","",IF(L204&lt;&gt;"",MAX(0,MIN(1,L204)),IF(AND(K204&lt;&gt;"",K204&gt;0,J204&lt;&gt;""),MAX(0,MIN(1,J204/K204)),IF(I204="",0,SUMIF('Lists &amp; Setup'!$A$4:$A$8,I204,'Lists &amp; Setup'!$B$4:$B$8)))))</x:f>
      </x:c>
      <x:c r="N204" s="86" t="str">
        <x:f>IF(A204="","",IF(OR(F204="",G204=""),0,IF(TODAY()&lt;F204,0,IF(TODAY()&gt;=G204,1,(TODAY()-F204+1)/MAX(1,G204-F204+1)))))</x:f>
      </x:c>
      <x:c r="O204" s="86" t="str">
        <x:f>IF(A204="","",M204-N204)</x:f>
      </x:c>
      <x:c r="P204" s="98"/>
      <x:c r="Q204" s="91"/>
      <x:c r="R204" s="88" t="str">
        <x:f>IF(A204="","",IF(M204&gt;=1,"Complete",IF(I204="Blocked","Blocked",IF(G204="","No Due Date",IF(G204&lt;TODAY(),"Overdue",IF(M204+0.1&lt;N204,"At Risk",IF(G204-TODAY()&lt;=7,"Due Soon","On Track")))))))</x:f>
      </x:c>
      <x:c r="S204" s="91"/>
    </x:row>
    <x:row r="205">
      <x:c r="A205" s="90"/>
      <x:c r="B205" s="90"/>
      <x:c r="C205" s="91"/>
      <x:c r="D205" s="90"/>
      <x:c r="E205" s="90"/>
      <x:c r="F205" s="92"/>
      <x:c r="G205" s="92"/>
      <x:c r="H205" s="84" t="str">
        <x:f>IF(A205="","",IF(OR(F205="",G205=""),"",MAX(0,G205-F205+1)))</x:f>
      </x:c>
      <x:c r="I205" s="90"/>
      <x:c r="J205" s="90"/>
      <x:c r="K205" s="90"/>
      <x:c r="L205" s="96"/>
      <x:c r="M205" s="86" t="str">
        <x:f>IF(A205="","",IF(L205&lt;&gt;"",MAX(0,MIN(1,L205)),IF(AND(K205&lt;&gt;"",K205&gt;0,J205&lt;&gt;""),MAX(0,MIN(1,J205/K205)),IF(I205="",0,SUMIF('Lists &amp; Setup'!$A$4:$A$8,I205,'Lists &amp; Setup'!$B$4:$B$8)))))</x:f>
      </x:c>
      <x:c r="N205" s="86" t="str">
        <x:f>IF(A205="","",IF(OR(F205="",G205=""),0,IF(TODAY()&lt;F205,0,IF(TODAY()&gt;=G205,1,(TODAY()-F205+1)/MAX(1,G205-F205+1)))))</x:f>
      </x:c>
      <x:c r="O205" s="86" t="str">
        <x:f>IF(A205="","",M205-N205)</x:f>
      </x:c>
      <x:c r="P205" s="98"/>
      <x:c r="Q205" s="91"/>
      <x:c r="R205" s="88" t="str">
        <x:f>IF(A205="","",IF(M205&gt;=1,"Complete",IF(I205="Blocked","Blocked",IF(G205="","No Due Date",IF(G205&lt;TODAY(),"Overdue",IF(M205+0.1&lt;N205,"At Risk",IF(G205-TODAY()&lt;=7,"Due Soon","On Track")))))))</x:f>
      </x:c>
      <x:c r="S205" s="91"/>
    </x:row>
    <x:row r="206">
      <x:c r="A206" s="90"/>
      <x:c r="B206" s="90"/>
      <x:c r="C206" s="91"/>
      <x:c r="D206" s="90"/>
      <x:c r="E206" s="90"/>
      <x:c r="F206" s="92"/>
      <x:c r="G206" s="92"/>
      <x:c r="H206" s="84" t="str">
        <x:f>IF(A206="","",IF(OR(F206="",G206=""),"",MAX(0,G206-F206+1)))</x:f>
      </x:c>
      <x:c r="I206" s="90"/>
      <x:c r="J206" s="90"/>
      <x:c r="K206" s="90"/>
      <x:c r="L206" s="96"/>
      <x:c r="M206" s="86" t="str">
        <x:f>IF(A206="","",IF(L206&lt;&gt;"",MAX(0,MIN(1,L206)),IF(AND(K206&lt;&gt;"",K206&gt;0,J206&lt;&gt;""),MAX(0,MIN(1,J206/K206)),IF(I206="",0,SUMIF('Lists &amp; Setup'!$A$4:$A$8,I206,'Lists &amp; Setup'!$B$4:$B$8)))))</x:f>
      </x:c>
      <x:c r="N206" s="86" t="str">
        <x:f>IF(A206="","",IF(OR(F206="",G206=""),0,IF(TODAY()&lt;F206,0,IF(TODAY()&gt;=G206,1,(TODAY()-F206+1)/MAX(1,G206-F206+1)))))</x:f>
      </x:c>
      <x:c r="O206" s="86" t="str">
        <x:f>IF(A206="","",M206-N206)</x:f>
      </x:c>
      <x:c r="P206" s="98"/>
      <x:c r="Q206" s="91"/>
      <x:c r="R206" s="88" t="str">
        <x:f>IF(A206="","",IF(M206&gt;=1,"Complete",IF(I206="Blocked","Blocked",IF(G206="","No Due Date",IF(G206&lt;TODAY(),"Overdue",IF(M206+0.1&lt;N206,"At Risk",IF(G206-TODAY()&lt;=7,"Due Soon","On Track")))))))</x:f>
      </x:c>
      <x:c r="S206" s="91"/>
    </x:row>
  </x:sheetData>
  <x:mergeCells>
    <x:mergeCell ref="A1:S1"/>
    <x:mergeCell ref="B3:H3"/>
    <x:mergeCell ref="B4:S4"/>
  </x:mergeCells>
  <x:conditionalFormatting sqref="M7:M206">
    <x:cfRule type="dataBar" priority="1">
      <x:dataBar>
        <x:cfvo type="min"/>
        <x:cfvo type="max"/>
        <x:color rgb="FF13866B"/>
      </x:dataBar>
      <x:extLst>
        <x:ext xmlns:x14="http://schemas.microsoft.com/office/spreadsheetml/2009/9/main" uri="{B025F937-C7B1-47D3-B67F-A62EFF666E3E}">
          <x14:id>{FF6FF2D8-79FA-9030-881D-DF5038ADDA65}</x14:id>
        </x:ext>
      </x:extLst>
    </x:cfRule>
  </x:conditionalFormatting>
  <x:conditionalFormatting sqref="R7:R206">
    <x:cfRule type="expression" dxfId="2" priority="4">
      <x:formula>R7="Overdue"</x:formula>
    </x:cfRule>
    <x:cfRule type="expression" dxfId="3" priority="5">
      <x:formula>R7="At Risk"</x:formula>
    </x:cfRule>
    <x:cfRule type="expression" dxfId="4" priority="6">
      <x:formula>R7="Blocked"</x:formula>
    </x:cfRule>
    <x:cfRule type="expression" dxfId="5" priority="7">
      <x:formula>R7="Due Soon"</x:formula>
    </x:cfRule>
    <x:cfRule type="expression" dxfId="6" priority="8">
      <x:formula>R7="On Track"</x:formula>
    </x:cfRule>
    <x:cfRule type="expression" dxfId="7" priority="9">
      <x:formula>R7="Complete"</x:formula>
    </x:cfRule>
  </x:conditionalFormatting>
  <x:conditionalFormatting sqref="O7:O206">
    <x:cfRule type="cellIs" dxfId="10" priority="10" operator="lessThan">
      <x:formula>0</x:formula>
    </x:cfRule>
    <x:cfRule type="cellIs" dxfId="11" priority="11" operator="greaterThanOrEqual">
      <x:formula>0</x:formula>
    </x:cfRule>
  </x:conditionalFormatting>
  <x:dataValidations count="3">
    <x:dataValidation type="list" sqref="B7:B206">
      <x:formula1>'Lists &amp; Setup'!$F$4:$F$11</x:formula1>
    </x:dataValidation>
    <x:dataValidation type="list" sqref="E7:E206">
      <x:formula1>'Lists &amp; Setup'!$D$4:$D$7</x:formula1>
    </x:dataValidation>
    <x:dataValidation type="list" sqref="I7:I206">
      <x:formula1>'Lists &amp; Setup'!$A$4:$A$8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4e3aae6ea148c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F6FF2D8-79FA-9030-881D-DF5038ADDA65}">
            <x14:dataBar gradient="1">
              <x14:cfvo type="min"/>
              <x14:cfvo type="max"/>
              <x14:fillColor rgb="FF13866B"/>
            </x14:dataBar>
          </x14:cfRule>
          <xm:sqref>M7:M206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4" hidden="0" customWidth="1"/>
  </x:cols>
  <x:sheetData>
    <x:row r="1" ht="28" customHeight="1">
      <x:c r="A1" s="38" t="str">
        <x:v>Project Progress Dashboard</x:v>
      </x:c>
      <x:c r="B1" s="38"/>
      <x:c r="C1" s="38"/>
      <x:c r="D1" s="38"/>
      <x:c r="E1" s="38"/>
      <x:c r="F1" s="38"/>
      <x:c r="G1" s="38"/>
      <x:c r="H1" s="38"/>
    </x:row>
    <x:row r="2">
      <x:c r="A2" s="101" t="str">
        <x:f>IF('Project Plan'!B2="","Add a project name in Project Plan!B2","Project: "&amp;'Project Plan'!B2)</x:f>
        <x:v>Add a project name in Project Plan!B2</x:v>
      </x:c>
      <x:c r="B2" s="101"/>
      <x:c r="C2" s="101"/>
      <x:c r="D2" s="101"/>
      <x:c r="E2" s="101"/>
      <x:c r="F2" s="101"/>
      <x:c r="G2" s="101"/>
      <x:c r="H2" s="101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40" t="str">
        <x:v>Total Tasks</x:v>
      </x:c>
      <x:c r="B4" s="134"/>
      <x:c r="C4" s="40" t="str">
        <x:v>Completed</x:v>
      </x:c>
      <x:c r="D4" s="134"/>
      <x:c r="E4" s="40" t="str">
        <x:v>Overdue</x:v>
      </x:c>
      <x:c r="F4" s="134"/>
      <x:c r="G4" s="40" t="str">
        <x:v>Due in 7 Days</x:v>
      </x:c>
      <x:c r="H4" s="134"/>
    </x:row>
    <x:row r="5">
      <x:c r="A5" s="126" t="n">
        <x:f>COUNTIF('Project Plan'!$A$7:$A$206,"&lt;&gt;")</x:f>
        <x:v>0</x:v>
      </x:c>
      <x:c r="B5" s="126"/>
      <x:c r="C5" s="126" t="n">
        <x:f>COUNTIFS('Project Plan'!$A$7:$A$206,"&lt;&gt;",'Project Plan'!$M$7:$M$206,"&gt;=1")</x:f>
        <x:v>0</x:v>
      </x:c>
      <x:c r="D5" s="126"/>
      <x:c r="E5" s="126" t="n">
        <x:f>COUNTIFS('Project Plan'!$A$7:$A$206,"&lt;&gt;",'Project Plan'!$G$7:$G$206,"&lt;&gt;",'Project Plan'!$G$7:$G$206,"&lt;"&amp;TODAY(),'Project Plan'!$M$7:$M$206,"&lt;1")</x:f>
        <x:v>0</x:v>
      </x:c>
      <x:c r="F5" s="126"/>
      <x:c r="G5" s="126" t="n">
        <x:f>COUNTIFS('Project Plan'!$A$7:$A$206,"&lt;&gt;",'Project Plan'!$G$7:$G$206,"&gt;="&amp;TODAY(),'Project Plan'!$G$7:$G$206,"&lt;="&amp;TODAY()+7,'Project Plan'!$M$7:$M$206,"&lt;1")</x:f>
        <x:v>0</x:v>
      </x:c>
      <x:c r="H5" s="126"/>
    </x:row>
    <x:row r="6">
      <x:c r="A6" s="25"/>
      <x:c r="B6" s="25"/>
      <x:c r="C6" s="25"/>
      <x:c r="D6" s="25"/>
      <x:c r="E6" s="25"/>
      <x:c r="F6" s="25"/>
      <x:c r="G6" s="25"/>
      <x:c r="H6" s="25"/>
    </x:row>
    <x:row r="7">
      <x:c r="A7" s="40" t="str">
        <x:v>Overall Progress</x:v>
      </x:c>
      <x:c r="B7" s="134"/>
      <x:c r="C7" s="40" t="str">
        <x:v>Planned Progress</x:v>
      </x:c>
      <x:c r="D7" s="134"/>
      <x:c r="E7" s="40" t="str">
        <x:v>Variance</x:v>
      </x:c>
      <x:c r="F7" s="134"/>
      <x:c r="G7" s="40" t="str">
        <x:v>Active Tasks</x:v>
      </x:c>
      <x:c r="H7" s="134"/>
    </x:row>
    <x:row r="8">
      <x:c r="A8" s="127" t="n">
        <x:f>IFERROR(SUMPRODUCT(--('Project Plan'!$A$7:$A$206&lt;&gt;""),'Project Plan'!$M$7:$M$206,('Project Plan'!$P$7:$P$206+('Project Plan'!$P$7:$P$206="")))/SUMPRODUCT(--('Project Plan'!$A$7:$A$206&lt;&gt;""),('Project Plan'!$P$7:$P$206+('Project Plan'!$P$7:$P$206=""))),0)</x:f>
        <x:v>0</x:v>
      </x:c>
      <x:c r="B8" s="127"/>
      <x:c r="C8" s="127" t="n">
        <x:f>IFERROR(SUMPRODUCT(--('Project Plan'!$A$7:$A$206&lt;&gt;""),'Project Plan'!$N$7:$N$206,('Project Plan'!$P$7:$P$206+('Project Plan'!$P$7:$P$206="")))/SUMPRODUCT(--('Project Plan'!$A$7:$A$206&lt;&gt;""),('Project Plan'!$P$7:$P$206+('Project Plan'!$P$7:$P$206=""))),0)</x:f>
        <x:v>0</x:v>
      </x:c>
      <x:c r="D8" s="127"/>
      <x:c r="E8" s="127" t="n">
        <x:f>A8-C8</x:f>
        <x:v>0</x:v>
      </x:c>
      <x:c r="F8" s="127"/>
      <x:c r="G8" s="126" t="n">
        <x:f>COUNTIFS('Project Plan'!$A$7:$A$206,"&lt;&gt;",'Project Plan'!$M$7:$M$206,"&lt;1",'Project Plan'!$F$7:$F$206,"&lt;&gt;",'Project Plan'!$F$7:$F$206,"&lt;="&amp;TODAY())</x:f>
        <x:v>0</x:v>
      </x:c>
      <x:c r="H8" s="126"/>
    </x:row>
    <x:row r="9">
      <x:c r="A9" s="25"/>
      <x:c r="B9" s="25"/>
      <x:c r="C9" s="25"/>
      <x:c r="D9" s="25"/>
      <x:c r="E9" s="25"/>
      <x:c r="F9" s="25"/>
      <x:c r="G9" s="25"/>
      <x:c r="H9" s="25"/>
    </x:row>
    <x:row r="10">
      <x:c r="A10" s="25"/>
      <x:c r="B10" s="25"/>
      <x:c r="C10" s="25"/>
      <x:c r="D10" s="25"/>
      <x:c r="E10" s="25"/>
      <x:c r="F10" s="25"/>
      <x:c r="G10" s="25"/>
      <x:c r="H10" s="25"/>
    </x:row>
    <x:row r="11">
      <x:c r="A11" s="136" t="str">
        <x:v>Status</x:v>
      </x:c>
      <x:c r="B11" s="136" t="str">
        <x:v>Tasks</x:v>
      </x:c>
      <x:c r="C11" s="25"/>
      <x:c r="D11" s="136" t="str">
        <x:v>Phase</x:v>
      </x:c>
      <x:c r="E11" s="136" t="str">
        <x:v>Tasks</x:v>
      </x:c>
      <x:c r="F11" s="136" t="str">
        <x:v>Weighted Progress</x:v>
      </x:c>
      <x:c r="G11" s="25"/>
      <x:c r="H11" s="25"/>
    </x:row>
    <x:row r="12">
      <x:c r="A12" s="25" t="str">
        <x:f>'Lists &amp; Setup'!A4</x:f>
        <x:v>Not Started</x:v>
      </x:c>
      <x:c r="B12" s="25" t="n">
        <x:f>COUNTIF('Project Plan'!$I$7:$I$206,A12)</x:f>
        <x:v>0</x:v>
      </x:c>
      <x:c r="C12" s="25"/>
      <x:c r="D12" s="25" t="str">
        <x:f>'Lists &amp; Setup'!F4</x:f>
        <x:v>Planning</x:v>
      </x:c>
      <x:c r="E12" s="25" t="n">
        <x:f>COUNTIFS('Project Plan'!$A$7:$A$206,"&lt;&gt;",'Project Plan'!$B$7:$B$206,D12)</x:f>
        <x:v>0</x:v>
      </x:c>
      <x:c r="F12" s="27" t="n">
        <x:f>IFERROR(SUMPRODUCT(--('Project Plan'!$A$7:$A$206&lt;&gt;""),--('Project Plan'!$B$7:$B$206=D12),'Project Plan'!$M$7:$M$206,('Project Plan'!$P$7:$P$206+('Project Plan'!$P$7:$P$206="")))/SUMPRODUCT(--('Project Plan'!$A$7:$A$206&lt;&gt;""),--('Project Plan'!$B$7:$B$206=D12),('Project Plan'!$P$7:$P$206+('Project Plan'!$P$7:$P$206=""))),0)</x:f>
        <x:v>0</x:v>
      </x:c>
      <x:c r="G12" s="25"/>
      <x:c r="H12" s="25"/>
    </x:row>
    <x:row r="13">
      <x:c r="A13" s="25" t="str">
        <x:f>'Lists &amp; Setup'!A5</x:f>
        <x:v>In Progress</x:v>
      </x:c>
      <x:c r="B13" s="25" t="n">
        <x:f>COUNTIF('Project Plan'!$I$7:$I$206,A13)</x:f>
        <x:v>0</x:v>
      </x:c>
      <x:c r="C13" s="25"/>
      <x:c r="D13" s="25" t="str">
        <x:f>'Lists &amp; Setup'!F5</x:f>
        <x:v>Analysis</x:v>
      </x:c>
      <x:c r="E13" s="25" t="n">
        <x:f>COUNTIFS('Project Plan'!$A$7:$A$206,"&lt;&gt;",'Project Plan'!$B$7:$B$206,D13)</x:f>
        <x:v>0</x:v>
      </x:c>
      <x:c r="F13" s="27" t="n">
        <x:f>IFERROR(SUMPRODUCT(--('Project Plan'!$A$7:$A$206&lt;&gt;""),--('Project Plan'!$B$7:$B$206=D13),'Project Plan'!$M$7:$M$206,('Project Plan'!$P$7:$P$206+('Project Plan'!$P$7:$P$206="")))/SUMPRODUCT(--('Project Plan'!$A$7:$A$206&lt;&gt;""),--('Project Plan'!$B$7:$B$206=D13),('Project Plan'!$P$7:$P$206+('Project Plan'!$P$7:$P$206=""))),0)</x:f>
        <x:v>0</x:v>
      </x:c>
      <x:c r="G13" s="25"/>
      <x:c r="H13" s="25"/>
    </x:row>
    <x:row r="14">
      <x:c r="A14" s="25" t="str">
        <x:f>'Lists &amp; Setup'!A6</x:f>
        <x:v>Blocked</x:v>
      </x:c>
      <x:c r="B14" s="25" t="n">
        <x:f>COUNTIF('Project Plan'!$I$7:$I$206,A14)</x:f>
        <x:v>0</x:v>
      </x:c>
      <x:c r="C14" s="25"/>
      <x:c r="D14" s="25" t="str">
        <x:f>'Lists &amp; Setup'!F6</x:f>
        <x:v>Design</x:v>
      </x:c>
      <x:c r="E14" s="25" t="n">
        <x:f>COUNTIFS('Project Plan'!$A$7:$A$206,"&lt;&gt;",'Project Plan'!$B$7:$B$206,D14)</x:f>
        <x:v>0</x:v>
      </x:c>
      <x:c r="F14" s="27" t="n">
        <x:f>IFERROR(SUMPRODUCT(--('Project Plan'!$A$7:$A$206&lt;&gt;""),--('Project Plan'!$B$7:$B$206=D14),'Project Plan'!$M$7:$M$206,('Project Plan'!$P$7:$P$206+('Project Plan'!$P$7:$P$206="")))/SUMPRODUCT(--('Project Plan'!$A$7:$A$206&lt;&gt;""),--('Project Plan'!$B$7:$B$206=D14),('Project Plan'!$P$7:$P$206+('Project Plan'!$P$7:$P$206=""))),0)</x:f>
        <x:v>0</x:v>
      </x:c>
      <x:c r="G14" s="25"/>
      <x:c r="H14" s="25"/>
    </x:row>
    <x:row r="15">
      <x:c r="A15" s="25" t="str">
        <x:f>'Lists &amp; Setup'!A7</x:f>
        <x:v>On Hold</x:v>
      </x:c>
      <x:c r="B15" s="25" t="n">
        <x:f>COUNTIF('Project Plan'!$I$7:$I$206,A15)</x:f>
        <x:v>0</x:v>
      </x:c>
      <x:c r="C15" s="25"/>
      <x:c r="D15" s="25" t="str">
        <x:f>'Lists &amp; Setup'!F7</x:f>
        <x:v>Build</x:v>
      </x:c>
      <x:c r="E15" s="25" t="n">
        <x:f>COUNTIFS('Project Plan'!$A$7:$A$206,"&lt;&gt;",'Project Plan'!$B$7:$B$206,D15)</x:f>
        <x:v>0</x:v>
      </x:c>
      <x:c r="F15" s="27" t="n">
        <x:f>IFERROR(SUMPRODUCT(--('Project Plan'!$A$7:$A$206&lt;&gt;""),--('Project Plan'!$B$7:$B$206=D15),'Project Plan'!$M$7:$M$206,('Project Plan'!$P$7:$P$206+('Project Plan'!$P$7:$P$206="")))/SUMPRODUCT(--('Project Plan'!$A$7:$A$206&lt;&gt;""),--('Project Plan'!$B$7:$B$206=D15),('Project Plan'!$P$7:$P$206+('Project Plan'!$P$7:$P$206=""))),0)</x:f>
        <x:v>0</x:v>
      </x:c>
      <x:c r="G15" s="25"/>
      <x:c r="H15" s="25"/>
    </x:row>
    <x:row r="16">
      <x:c r="A16" s="25" t="str">
        <x:f>'Lists &amp; Setup'!A8</x:f>
        <x:v>Complete</x:v>
      </x:c>
      <x:c r="B16" s="25" t="n">
        <x:f>COUNTIF('Project Plan'!$I$7:$I$206,A16)</x:f>
        <x:v>0</x:v>
      </x:c>
      <x:c r="C16" s="25"/>
      <x:c r="D16" s="25" t="str">
        <x:f>'Lists &amp; Setup'!F8</x:f>
        <x:v>Testing</x:v>
      </x:c>
      <x:c r="E16" s="25" t="n">
        <x:f>COUNTIFS('Project Plan'!$A$7:$A$206,"&lt;&gt;",'Project Plan'!$B$7:$B$206,D16)</x:f>
        <x:v>0</x:v>
      </x:c>
      <x:c r="F16" s="27" t="n">
        <x:f>IFERROR(SUMPRODUCT(--('Project Plan'!$A$7:$A$206&lt;&gt;""),--('Project Plan'!$B$7:$B$206=D16),'Project Plan'!$M$7:$M$206,('Project Plan'!$P$7:$P$206+('Project Plan'!$P$7:$P$206="")))/SUMPRODUCT(--('Project Plan'!$A$7:$A$206&lt;&gt;""),--('Project Plan'!$B$7:$B$206=D16),('Project Plan'!$P$7:$P$206+('Project Plan'!$P$7:$P$206=""))),0)</x:f>
        <x:v>0</x:v>
      </x:c>
      <x:c r="G16" s="25"/>
      <x:c r="H16" s="25"/>
    </x:row>
    <x:row r="17">
      <x:c r="A17" s="25"/>
      <x:c r="B17" s="25"/>
      <x:c r="C17" s="25"/>
      <x:c r="D17" s="25" t="str">
        <x:f>'Lists &amp; Setup'!F9</x:f>
        <x:v>Deployment</x:v>
      </x:c>
      <x:c r="E17" s="25" t="n">
        <x:f>COUNTIFS('Project Plan'!$A$7:$A$206,"&lt;&gt;",'Project Plan'!$B$7:$B$206,D17)</x:f>
        <x:v>0</x:v>
      </x:c>
      <x:c r="F17" s="27" t="n">
        <x:f>IFERROR(SUMPRODUCT(--('Project Plan'!$A$7:$A$206&lt;&gt;""),--('Project Plan'!$B$7:$B$206=D17),'Project Plan'!$M$7:$M$206,('Project Plan'!$P$7:$P$206+('Project Plan'!$P$7:$P$206="")))/SUMPRODUCT(--('Project Plan'!$A$7:$A$206&lt;&gt;""),--('Project Plan'!$B$7:$B$206=D17),('Project Plan'!$P$7:$P$206+('Project Plan'!$P$7:$P$206=""))),0)</x:f>
        <x:v>0</x:v>
      </x:c>
      <x:c r="G17" s="25"/>
      <x:c r="H17" s="25"/>
    </x:row>
    <x:row r="18">
      <x:c r="A18" s="25"/>
      <x:c r="B18" s="25"/>
      <x:c r="C18" s="25"/>
      <x:c r="D18" s="25" t="str">
        <x:f>'Lists &amp; Setup'!F10</x:f>
        <x:v>Closure</x:v>
      </x:c>
      <x:c r="E18" s="25" t="n">
        <x:f>COUNTIFS('Project Plan'!$A$7:$A$206,"&lt;&gt;",'Project Plan'!$B$7:$B$206,D18)</x:f>
        <x:v>0</x:v>
      </x:c>
      <x:c r="F18" s="27" t="n">
        <x:f>IFERROR(SUMPRODUCT(--('Project Plan'!$A$7:$A$206&lt;&gt;""),--('Project Plan'!$B$7:$B$206=D18),'Project Plan'!$M$7:$M$206,('Project Plan'!$P$7:$P$206+('Project Plan'!$P$7:$P$206="")))/SUMPRODUCT(--('Project Plan'!$A$7:$A$206&lt;&gt;""),--('Project Plan'!$B$7:$B$206=D18),('Project Plan'!$P$7:$P$206+('Project Plan'!$P$7:$P$206=""))),0)</x:f>
        <x:v>0</x:v>
      </x:c>
      <x:c r="G18" s="25"/>
      <x:c r="H18" s="25"/>
    </x:row>
    <x:row r="19">
      <x:c r="A19" s="25"/>
      <x:c r="B19" s="25"/>
      <x:c r="C19" s="25"/>
      <x:c r="D19" s="25" t="str">
        <x:f>'Lists &amp; Setup'!F11</x:f>
        <x:v>Other</x:v>
      </x:c>
      <x:c r="E19" s="25" t="n">
        <x:f>COUNTIFS('Project Plan'!$A$7:$A$206,"&lt;&gt;",'Project Plan'!$B$7:$B$206,D19)</x:f>
        <x:v>0</x:v>
      </x:c>
      <x:c r="F19" s="27" t="n">
        <x:f>IFERROR(SUMPRODUCT(--('Project Plan'!$A$7:$A$206&lt;&gt;""),--('Project Plan'!$B$7:$B$206=D19),'Project Plan'!$M$7:$M$206,('Project Plan'!$P$7:$P$206+('Project Plan'!$P$7:$P$206="")))/SUMPRODUCT(--('Project Plan'!$A$7:$A$206&lt;&gt;""),--('Project Plan'!$B$7:$B$206=D19),('Project Plan'!$P$7:$P$206+('Project Plan'!$P$7:$P$206=""))),0)</x:f>
        <x:v>0</x:v>
      </x:c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129" t="str">
        <x:v>How progress works: Manual % overrides units; units override status default. Planned % is time-elapsed between each task's start and due date. Overall dashboard progress is weighted, with blank task weights treated as 1.</x:v>
      </x:c>
      <x:c r="B21" s="129"/>
      <x:c r="C21" s="129"/>
      <x:c r="D21" s="129"/>
      <x:c r="E21" s="129"/>
      <x:c r="F21" s="129"/>
      <x:c r="G21" s="129"/>
      <x:c r="H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2" ht="24" customHeight="1">
      <x:c r="A42" s="173" t="str">
        <x:v>Planned vs Actual Progress | Actual is smoothly interpolated between saved checkpoints and the current weighted progress; checkpoint values remain exact. Reporting window and snapshots are managed on Progress Curve.</x:v>
      </x:c>
      <x:c r="B42" s="173"/>
      <x:c r="C42" s="173"/>
      <x:c r="D42" s="173"/>
      <x:c r="E42" s="173"/>
      <x:c r="F42" s="173"/>
      <x:c r="G42" s="173"/>
      <x:c r="H42" s="173"/>
      <x:c r="I42" s="173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B7"/>
    <x:mergeCell ref="A8:B8"/>
    <x:mergeCell ref="C7:D7"/>
    <x:mergeCell ref="C8:D8"/>
    <x:mergeCell ref="E7:F7"/>
    <x:mergeCell ref="E8:F8"/>
    <x:mergeCell ref="G7:H7"/>
    <x:mergeCell ref="G8:H8"/>
    <x:mergeCell ref="A21:H22"/>
    <x:mergeCell ref="A42:I42"/>
  </x:mergeCells>
  <x:conditionalFormatting sqref="A8:B8">
    <x:cfRule type="dataBar" priority="1">
      <x:dataBar>
        <x:cfvo type="min"/>
        <x:cfvo type="max"/>
        <x:color rgb="FF13866B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C8:D8">
    <x:cfRule type="dataBar" priority="2">
      <x:dataBar>
        <x:cfvo type="min"/>
        <x:cfvo type="max"/>
        <x:color rgb="FF6AAED6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E8:F8">
    <x:cfRule type="cellIs" dxfId="8" priority="3" operator="lessThan">
      <x:formula>0</x:formula>
    </x:cfRule>
    <x:cfRule type="cellIs" dxfId="9" priority="4" operator="greaterThanOrEqual">
      <x:formula>0</x:formula>
    </x:cfRule>
  </x:conditionalFormatting>
  <x:conditionalFormatting sqref="F12:F19">
    <x:cfRule type="dataBar" priority="5">
      <x:dataBar>
        <x:cfvo type="min"/>
        <x:cfvo type="max"/>
        <x:color rgb="FF13866B"/>
      </x:dataBar>
      <x:extLst>
        <x:ext xmlns:x14="http://schemas.microsoft.com/office/spreadsheetml/2009/9/main" uri="{B025F937-C7B1-47D3-B67F-A62EFF666E3E}">
          <x14:id>{9FB71B9A-F398-1C5C-AB63-4C1EA09CC5DA}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dd373aa4b4445c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3866B"/>
            </x14:dataBar>
          </x14:cfRule>
          <xm:sqref>A8:B8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6AAED6"/>
            </x14:dataBar>
          </x14:cfRule>
          <xm:sqref>C8:D8</xm:sqref>
        </x14:conditionalFormatting>
        <x14:conditionalFormatting>
          <x14:cfRule type="dataBar" priority="5" id="{9FB71B9A-F398-1C5C-AB63-4C1EA09CC5DA}">
            <x14:dataBar gradient="1">
              <x14:cfvo type="min"/>
              <x14:cfvo type="max"/>
              <x14:fillColor rgb="FF13866B"/>
            </x14:dataBar>
          </x14:cfRule>
          <xm:sqref>F12:F19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5" hidden="0" customWidth="1"/>
    <x:col min="4" max="4" width="16" hidden="0" customWidth="1"/>
    <x:col min="6" max="6" width="18" hidden="0" customWidth="1"/>
  </x:cols>
  <x:sheetData>
    <x:row r="1" ht="28" customHeight="1">
      <x:c r="A1" s="38" t="str">
        <x:v>Project Planning Template - Setup &amp; AI Data Contract</x:v>
      </x:c>
      <x:c r="B1" s="38"/>
      <x:c r="C1" s="38"/>
      <x:c r="D1" s="38"/>
      <x:c r="E1" s="38"/>
      <x:c r="F1" s="38"/>
      <x:c r="G1" s="38"/>
      <x:c r="H1" s="38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40" t="str">
        <x:v>Status</x:v>
      </x:c>
      <x:c r="B3" s="40" t="str">
        <x:v>Default Progress</x:v>
      </x:c>
      <x:c r="C3" s="25"/>
      <x:c r="D3" s="40" t="str">
        <x:v>Priority</x:v>
      </x:c>
      <x:c r="E3" s="25"/>
      <x:c r="F3" s="40" t="str">
        <x:v>Phase</x:v>
      </x:c>
      <x:c r="G3" s="25"/>
      <x:c r="H3" s="25"/>
    </x:row>
    <x:row r="4">
      <x:c r="A4" s="25" t="str">
        <x:v>Not Started</x:v>
      </x:c>
      <x:c r="B4" s="27" t="n">
        <x:v>0</x:v>
      </x:c>
      <x:c r="C4" s="25"/>
      <x:c r="D4" s="25" t="str">
        <x:v>Critical</x:v>
      </x:c>
      <x:c r="E4" s="25"/>
      <x:c r="F4" s="25" t="str">
        <x:v>Planning</x:v>
      </x:c>
      <x:c r="G4" s="25"/>
      <x:c r="H4" s="25"/>
    </x:row>
    <x:row r="5">
      <x:c r="A5" s="25" t="str">
        <x:v>In Progress</x:v>
      </x:c>
      <x:c r="B5" s="27" t="n">
        <x:v>0.5</x:v>
      </x:c>
      <x:c r="C5" s="25"/>
      <x:c r="D5" s="25" t="str">
        <x:v>High</x:v>
      </x:c>
      <x:c r="E5" s="25"/>
      <x:c r="F5" s="25" t="str">
        <x:v>Analysis</x:v>
      </x:c>
      <x:c r="G5" s="25"/>
      <x:c r="H5" s="25"/>
    </x:row>
    <x:row r="6">
      <x:c r="A6" s="25" t="str">
        <x:v>Blocked</x:v>
      </x:c>
      <x:c r="B6" s="27" t="n">
        <x:v>0.25</x:v>
      </x:c>
      <x:c r="C6" s="25"/>
      <x:c r="D6" s="25" t="str">
        <x:v>Medium</x:v>
      </x:c>
      <x:c r="E6" s="25"/>
      <x:c r="F6" s="25" t="str">
        <x:v>Design</x:v>
      </x:c>
      <x:c r="G6" s="25"/>
      <x:c r="H6" s="25"/>
    </x:row>
    <x:row r="7">
      <x:c r="A7" s="25" t="str">
        <x:v>On Hold</x:v>
      </x:c>
      <x:c r="B7" s="27" t="n">
        <x:v>0.25</x:v>
      </x:c>
      <x:c r="C7" s="25"/>
      <x:c r="D7" s="25" t="str">
        <x:v>Low</x:v>
      </x:c>
      <x:c r="E7" s="25"/>
      <x:c r="F7" s="25" t="str">
        <x:v>Build</x:v>
      </x:c>
      <x:c r="G7" s="25"/>
      <x:c r="H7" s="25"/>
    </x:row>
    <x:row r="8">
      <x:c r="A8" s="25" t="str">
        <x:v>Complete</x:v>
      </x:c>
      <x:c r="B8" s="27" t="n">
        <x:v>1</x:v>
      </x:c>
      <x:c r="C8" s="25"/>
      <x:c r="D8" s="25"/>
      <x:c r="E8" s="25"/>
      <x:c r="F8" s="25" t="str">
        <x:v>Testing</x:v>
      </x:c>
      <x:c r="G8" s="25"/>
      <x:c r="H8" s="25"/>
    </x:row>
    <x:row r="9">
      <x:c r="A9" s="25"/>
      <x:c r="B9" s="25"/>
      <x:c r="C9" s="25"/>
      <x:c r="D9" s="25"/>
      <x:c r="E9" s="25"/>
      <x:c r="F9" s="25" t="str">
        <x:v>Deployment</x:v>
      </x:c>
      <x:c r="G9" s="25"/>
      <x:c r="H9" s="25"/>
    </x:row>
    <x:row r="10">
      <x:c r="A10" s="25"/>
      <x:c r="B10" s="25"/>
      <x:c r="C10" s="25"/>
      <x:c r="D10" s="25"/>
      <x:c r="E10" s="25"/>
      <x:c r="F10" s="25" t="str">
        <x:v>Closure</x:v>
      </x:c>
      <x:c r="G10" s="25"/>
      <x:c r="H10" s="25"/>
    </x:row>
    <x:row r="11">
      <x:c r="A11" s="25"/>
      <x:c r="B11" s="25"/>
      <x:c r="C11" s="25"/>
      <x:c r="D11" s="25"/>
      <x:c r="E11" s="25"/>
      <x:c r="F11" s="25" t="str">
        <x:v>Other</x:v>
      </x:c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44" t="str">
        <x:v>AI DATA CONTRACT — fill input columns only; formula columns are protected by convention</x:v>
      </x:c>
      <x:c r="B13" s="44"/>
      <x:c r="C13" s="44"/>
      <x:c r="D13" s="44"/>
      <x:c r="E13" s="44"/>
      <x:c r="F13" s="44"/>
      <x:c r="G13" s="44"/>
      <x:c r="H13" s="44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42" t="str">
        <x:v>Rule</x:v>
      </x:c>
      <x:c r="B15" s="42" t="str">
        <x:v>Instruction</x:v>
      </x:c>
      <x:c r="C15" s="25"/>
      <x:c r="D15" s="25"/>
      <x:c r="E15" s="25"/>
      <x:c r="F15" s="25"/>
      <x:c r="G15" s="25"/>
      <x:c r="H15" s="25"/>
    </x:row>
    <x:row r="16">
      <x:c r="A16" s="30" t="str">
        <x:v>1</x:v>
      </x:c>
      <x:c r="B16" s="30" t="str">
        <x:v>Add one task per row in Project Plan starting at row 7.</x:v>
      </x:c>
      <x:c r="C16" s="25"/>
      <x:c r="D16" s="25"/>
      <x:c r="E16" s="25"/>
      <x:c r="F16" s="25"/>
      <x:c r="G16" s="25"/>
      <x:c r="H16" s="25"/>
    </x:row>
    <x:row r="17">
      <x:c r="A17" s="30" t="str">
        <x:v>2</x:v>
      </x:c>
      <x:c r="B17" s="30" t="str">
        <x:v>Input columns: Task ID, Phase, Task / Deliverable, Owner, Priority, Start Date, Due Date, Status, Completed Units, Total Units, Manual Progress %, Weight, Dependency, Notes.</x:v>
      </x:c>
      <x:c r="C17" s="25"/>
      <x:c r="D17" s="25"/>
      <x:c r="E17" s="25"/>
      <x:c r="F17" s="25"/>
      <x:c r="G17" s="25"/>
      <x:c r="H17" s="25"/>
    </x:row>
    <x:row r="18">
      <x:c r="A18" s="30" t="str">
        <x:v>3</x:v>
      </x:c>
      <x:c r="B18" s="30" t="str">
        <x:v>Do not overwrite formula columns: Duration, Progress %, Planned %, Variance %, Health.</x:v>
      </x:c>
      <x:c r="C18" s="25"/>
      <x:c r="D18" s="25"/>
      <x:c r="E18" s="25"/>
      <x:c r="F18" s="25"/>
      <x:c r="G18" s="25"/>
      <x:c r="H18" s="25"/>
    </x:row>
    <x:row r="19">
      <x:c r="A19" s="30" t="str">
        <x:v>4</x:v>
      </x:c>
      <x:c r="B19" s="30" t="str">
        <x:v>Manual Progress % is optional. If blank, Progress % uses Completed Units / Total Units; if those are blank, it uses the Status default.</x:v>
      </x:c>
      <x:c r="C19" s="25"/>
      <x:c r="D19" s="25"/>
      <x:c r="E19" s="25"/>
      <x:c r="F19" s="25"/>
      <x:c r="G19" s="25"/>
      <x:c r="H19" s="25"/>
    </x:row>
    <x:row r="20">
      <x:c r="A20" s="30" t="str">
        <x:v>5</x:v>
      </x:c>
      <x:c r="B20" s="30" t="str">
        <x:v>Weight is optional. Blank weight is treated as 1. Use larger weights for more important / larger tasks.</x:v>
      </x:c>
      <x:c r="C20" s="25"/>
      <x:c r="D20" s="25"/>
      <x:c r="E20" s="25"/>
      <x:c r="F20" s="25"/>
      <x:c r="G20" s="25"/>
      <x:c r="H20" s="25"/>
    </x:row>
    <x:row r="21">
      <x:c r="A21" s="30" t="str">
        <x:v>6</x:v>
      </x:c>
      <x:c r="B21" s="30" t="str">
        <x:v>Use real Excel dates. Percent inputs should be values from 0% to 100%.</x:v>
      </x:c>
      <x:c r="C21" s="25"/>
      <x:c r="D21" s="25"/>
      <x:c r="E21" s="25"/>
      <x:c r="F21" s="25"/>
      <x:c r="G21" s="25"/>
      <x:c r="H21" s="25"/>
    </x:row>
    <x:row r="22">
      <x:c r="A22" s="30" t="str">
        <x:v>7</x:v>
      </x:c>
      <x:c r="B22" s="30" t="str">
        <x:v>Edit the Status, Priority, and Phase lists above if the project needs different categories.</x:v>
      </x:c>
      <x:c r="C22" s="25"/>
      <x:c r="D22" s="25"/>
      <x:c r="E22" s="25"/>
      <x:c r="F22" s="25"/>
      <x:c r="G22" s="25"/>
      <x:c r="H22" s="25"/>
    </x:row>
    <x:row r="23">
      <x:c r="A23" s="30" t="str">
        <x:v>8</x:v>
      </x:c>
      <x:c r="B23" s="30" t="str">
        <x:v>The Dashboard updates automatically from Project Plan rows 7–206.</x:v>
      </x:c>
      <x:c r="C23" s="25"/>
      <x:c r="D23" s="25"/>
      <x:c r="E23" s="25"/>
      <x:c r="F23" s="25"/>
      <x:c r="G23" s="25"/>
      <x:c r="H23" s="25"/>
    </x:row>
    <x:row r="24" ht="34" customHeight="1">
      <x:c r="A24" s="148" t="str">
        <x:v>9</x:v>
      </x:c>
      <x:c r="B24" s="175" t="str">
        <x:v>Progress Curve uses Project Start/End automatically. Change Chart Start/End only when you want to focus the chart on a specific daily window (maximum 370 days).</x:v>
      </x:c>
    </x:row>
    <x:row r="25" ht="34" customHeight="1">
      <x:c r="A25" s="148" t="str">
        <x:v>10</x:v>
      </x:c>
      <x:c r="B25" s="175" t="str">
        <x:v>For historical actual tracking, add dated checkpoints in Progress Curve columns G:H: Snapshot Date and Actual Snapshot %. Enter snapshots in chronological order without blank rows between checkpoints.</x:v>
      </x:c>
    </x:row>
    <x:row r="26" ht="34" customHeight="1">
      <x:c r="A26" s="148" t="str">
        <x:v>11</x:v>
      </x:c>
      <x:c r="B26" s="175" t="str">
        <x:v>Do not overwrite Progress Curve formula columns A:E or chart-helper columns M:W. The Dashboard worm chart updates automatically from those formulas.</x:v>
      </x:c>
    </x:row>
    <x:row r="27" ht="34" customHeight="1">
      <x:c r="A27" s="148" t="str">
        <x:v>12</x:v>
      </x:c>
      <x:c r="B27" s="175" t="str">
        <x:v>The Actual Progress chart uses one date per day and smooth cubic interpolation between the last known actual checkpoint and the next checkpoint/current weighted Overall Progress. This avoids flat-then-vertical jumps while keeping checkpoint values exact.</x:v>
      </x:c>
    </x:row>
  </x:sheetData>
  <x:mergeCells>
    <x:mergeCell ref="A1:H1"/>
    <x:mergeCell ref="A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8" hidden="0" customWidth="1"/>
    <x:col min="5" max="5" width="14" hidden="0" customWidth="1"/>
    <x:col min="6" max="6" width="16" hidden="0" customWidth="1"/>
    <x:col min="7" max="7" width="15" hidden="0" customWidth="1"/>
    <x:col min="8" max="8" width="18" hidden="0" customWidth="1"/>
    <x:col min="9" max="9" width="32" hidden="0" customWidth="1"/>
    <x:col min="10" max="10" width="12" hidden="0" customWidth="1"/>
    <x:col min="11" max="11" width="30" hidden="0" customWidth="1"/>
    <x:col min="12" max="12" width="2" hidden="0" customWidth="1"/>
    <x:col min="13" max="13" width="11" hidden="0" customWidth="1"/>
    <x:col min="14" max="14" width="13" hidden="0" customWidth="1"/>
    <x:col min="15" max="15" width="1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</x:cols>
  <x:sheetData>
    <x:row r="1" ht="32" customHeight="1">
      <x:c r="A1" s="176" t="str">
        <x:v>Planned vs Actual Progress Curve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</x:row>
    <x:row r="2">
      <x:c r="A2" s="183" t="str">
        <x:v>Chart Start</x:v>
      </x:c>
      <x:c r="B2" s="184" t="str">
        <x:f>IF('Project Plan'!H2&lt;&gt;"",'Project Plan'!H2,IF(COUNT('Project Plan'!F7:F206)=0,"",MIN('Project Plan'!F7:F206)))</x:f>
      </x:c>
      <x:c r="C2" s="183" t="str">
        <x:v>Chart End</x:v>
      </x:c>
      <x:c r="D2" s="184" t="str">
        <x:f>IF('Project Plan'!K2&lt;&gt;"",'Project Plan'!K2,IF(COUNT('Project Plan'!G7:G206)=0,"",MAX('Project Plan'!G7:G206)))</x:f>
      </x:c>
      <x:c r="E2" s="183" t="str">
        <x:v>As of Date</x:v>
      </x:c>
      <x:c r="F2" s="184" t="str">
        <x:f>IF(D2="","",MIN(TODAY(),D2))</x:f>
      </x:c>
      <x:c r="G2" s="183" t="str">
        <x:v>Current Actual</x:v>
      </x:c>
      <x:c r="H2" s="185" t="n">
        <x:f>Dashboard!A8</x:f>
        <x:v>0</x:v>
      </x:c>
      <x:c r="I2" s="183" t="str">
        <x:v>Window Days</x:v>
      </x:c>
      <x:c r="J2" s="186" t="str">
        <x:f>IF(OR(B2="",D2=""),"",D2-B2+1)</x:f>
      </x:c>
      <x:c r="K2" s="154" t="str">
        <x:f>IF(OR(B2="",D2=""),"",IF(D2&lt;B2,"End date must be on/after start date",IF(J2&gt;370,"Window &gt; 370 days: shorten Chart Start/End","")))</x:f>
      </x:c>
    </x:row>
    <x:row r="4" ht="42" customHeight="1">
      <x:c r="A4" s="157" t="str">
        <x:v>Enter dated actual-progress snapshots in columns G:H in chronological order. Planned progress is calculated from task dates and weights. The Dashboard Actual Progress line is smoothly interpolated between the project-start baseline, saved snapshots, and the current weighted Overall Progress. Snapshot/current values remain exact; the curve between them is visual interpolation.</x:v>
      </x:c>
      <x:c r="B4" s="157"/>
      <x:c r="C4" s="157"/>
      <x:c r="D4" s="157"/>
      <x:c r="E4" s="157"/>
      <x:c r="F4" s="157"/>
      <x:c r="G4" s="157"/>
      <x:c r="H4" s="157"/>
      <x:c r="I4" s="157"/>
      <x:c r="J4" s="157"/>
      <x:c r="K4" s="179"/>
    </x:row>
    <x:row r="6" ht="24" customHeight="1">
      <x:c r="A6" s="145" t="str">
        <x:v>Date</x:v>
      </x:c>
      <x:c r="B6" s="145" t="str">
        <x:v>Planned Progress %</x:v>
      </x:c>
      <x:c r="C6" s="145" t="str">
        <x:v>Recorded Actual %</x:v>
      </x:c>
      <x:c r="D6" s="145" t="str">
        <x:v>Variance %</x:v>
      </x:c>
      <x:c r="E6" s="145" t="str">
        <x:v>Schedule Status</x:v>
      </x:c>
      <x:c r="G6" s="145" t="str">
        <x:v>Snapshot Date</x:v>
      </x:c>
      <x:c r="H6" s="145" t="str">
        <x:v>Actual Snapshot %</x:v>
      </x:c>
      <x:c r="I6" s="145" t="str">
        <x:v>Note</x:v>
      </x:c>
      <x:c r="J6"/>
      <x:c r="K6"/>
      <x:c r="L6"/>
      <x:c r="M6" t="str">
        <x:v>Chart Date</x:v>
      </x:c>
      <x:c r="N6" t="str">
        <x:v>Chart Planned</x:v>
      </x:c>
      <x:c r="O6" t="str">
        <x:v>Chart Actual</x:v>
      </x:c>
      <x:c r="P6" t="str">
        <x:v>Curve Date</x:v>
      </x:c>
      <x:c r="Q6" t="str">
        <x:v>Snapshot Count</x:v>
      </x:c>
      <x:c r="R6" t="str">
        <x:v>Prev Index</x:v>
      </x:c>
      <x:c r="S6" t="str">
        <x:v>Prev Date</x:v>
      </x:c>
      <x:c r="T6" t="str">
        <x:v>Prev Value</x:v>
      </x:c>
      <x:c r="U6" t="str">
        <x:v>Next Date</x:v>
      </x:c>
      <x:c r="V6" t="str">
        <x:v>Next Value</x:v>
      </x:c>
      <x:c r="W6" t="str">
        <x:v>Curve t</x:v>
      </x:c>
    </x:row>
    <x:row r="7">
      <x:c r="A7" s="159" t="str">
        <x:f>IF(OR($B$2="",$D$2="",$D$2&lt;$B$2),"",$B$2)</x:f>
      </x:c>
      <x:c r="B7" s="162" t="str">
        <x:f>IF(A7="","",IFERROR(SUMPRODUCT(--('Project Plan'!$A$7:$A$206&lt;&gt;""),('Project Plan'!$P$7:$P$206+('Project Plan'!$P$7:$P$206="")),--('Project Plan'!$F$7:$F$206&lt;&gt;""),--('Project Plan'!$G$7:$G$206&lt;&gt;""),((A7&gt;='Project Plan'!$G$7:$G$206)+((A7&gt;='Project Plan'!$F$7:$F$206)*(A7&lt;'Project Plan'!$G$7:$G$206)*(A7-'Project Plan'!$F$7:$F$206+1)/('Project Plan'!$G$7:$G$206-'Project Plan'!$F$7:$F$206+1))))/SUMPRODUCT(--('Project Plan'!$A$7:$A$206&lt;&gt;""),('Project Plan'!$P$7:$P$206+('Project Plan'!$P$7:$P$206=""))),0))</x:f>
      </x:c>
      <x:c r="C7" s="162" t="str">
        <x:f>IF(A7="","",IF(A7&gt;$F$2,"",IF(A7=$F$2,$H$2,IFERROR(LOOKUP(2,1/(($G$7:$G$106&lt;&gt;"")*($G$7:$G$106&lt;=A7)),$H$7:$H$106),""))))</x:f>
      </x:c>
      <x:c r="D7" s="162" t="str">
        <x:f>IF(C7="","",C7-B7)</x:f>
      </x:c>
      <x:c r="E7" s="163" t="str">
        <x:f>IF(D7="","",IF(D7&gt;=0,"On / Ahead",IF(D7&gt;=-0.05,"Watch","Behind")))</x:f>
      </x:c>
      <x:c r="G7" s="167"/>
      <x:c r="H7" s="168"/>
      <x:c r="I7" s="170"/>
      <x:c r="J7"/>
      <x:c r="K7"/>
      <x:c r="L7"/>
      <x:c r="M7" t="str">
        <x:f>IF(A7="","",TEXT(A7,"mmm d"))</x:f>
      </x:c>
      <x:c r="N7" s="14" t="e">
        <x:f>IF(B7="",NA(),B7)</x:f>
        <x:v>#N/A</x:v>
      </x:c>
      <x:c r="O7" s="14" t="e">
        <x:f>IF(OR(P7="",$B$2="",$F$2="",P7&lt;$B$2,P7&gt;$F$2),NA(),IF(Q7=0,IF($F$2=$B$2,$H$2,MAX(0,MIN(1,$H$2*(3*MAX(0,MIN(1,(P7-$B$2)/($F$2-$B$2)))^2-2*MAX(0,MIN(1,(P7-$B$2)/($F$2-$B$2)))^3)))),MAX(0,MIN(1,T7+(V7-T7)*(3*W7^2-2*W7^3)))))</x:f>
        <x:v>#N/A</x:v>
      </x:c>
      <x:c r="P7" s="189" t="str">
        <x:f>A7</x:f>
      </x:c>
      <x:c r="Q7" t="n">
        <x:f>COUNT($G$7:$G$106)</x:f>
        <x:v>0</x:v>
      </x:c>
      <x:c r="R7" t="str">
        <x:f>IF(OR(P7="",$B$2="",$F$2="",P7&lt;$B$2,P7&gt;$F$2),"",IF(Q7=0,0,IF(P7&lt;$G$7,0,IF(P7&gt;=INDEX($G$7:$G$106,Q7),Q7,MATCH(P7,$G$7:$G$106,1)))))</x:f>
      </x:c>
      <x:c r="S7" t="str">
        <x:f>IF(R7="","",IF(R7=0,$B$2,INDEX($G$7:$G$106,R7)))</x:f>
      </x:c>
      <x:c r="T7" s="14" t="str">
        <x:f>IF(R7="","",IF(R7=0,0,INDEX($H$7:$H$106,R7)))</x:f>
      </x:c>
      <x:c r="U7" t="str">
        <x:f>IF(R7="","",IF(Q7=0,$F$2,IF(R7=0,$G$7,IF(R7&lt;Q7,INDEX($G$7:$G$106,R7+1),$F$2))))</x:f>
      </x:c>
      <x:c r="V7" s="14" t="str">
        <x:f>IF(R7="","",IF(Q7=0,$H$2,IF(R7=0,$H$7,IF(R7&lt;Q7,INDEX($H$7:$H$106,R7+1),$H$2))))</x:f>
      </x:c>
      <x:c r="W7" s="188" t="str">
        <x:f>IF(R7="","",IF(U7=S7,1,MAX(0,MIN(1,(P7-S7)/(U7-S7)))))</x:f>
      </x:c>
    </x:row>
    <x:row r="8">
      <x:c r="A8" s="159" t="str">
        <x:f>IF(OR(A7="",A7&gt;=$D$2),"",A7+1)</x:f>
      </x:c>
      <x:c r="B8" s="162" t="str">
        <x:f>IF(A8="","",IFERROR(SUMPRODUCT(--('Project Plan'!$A$7:$A$206&lt;&gt;""),('Project Plan'!$P$7:$P$206+('Project Plan'!$P$7:$P$206="")),--('Project Plan'!$F$7:$F$206&lt;&gt;""),--('Project Plan'!$G$7:$G$206&lt;&gt;""),((A8&gt;='Project Plan'!$G$7:$G$206)+((A8&gt;='Project Plan'!$F$7:$F$206)*(A8&lt;'Project Plan'!$G$7:$G$206)*(A8-'Project Plan'!$F$7:$F$206+1)/('Project Plan'!$G$7:$G$206-'Project Plan'!$F$7:$F$206+1))))/SUMPRODUCT(--('Project Plan'!$A$7:$A$206&lt;&gt;""),('Project Plan'!$P$7:$P$206+('Project Plan'!$P$7:$P$206=""))),0))</x:f>
      </x:c>
      <x:c r="C8" s="162" t="str">
        <x:f>IF(A8="","",IF(A8&gt;$F$2,"",IF(A8=$F$2,$H$2,IFERROR(LOOKUP(2,1/(($G$7:$G$106&lt;&gt;"")*($G$7:$G$106&lt;=A8)),$H$7:$H$106),""))))</x:f>
      </x:c>
      <x:c r="D8" s="162" t="str">
        <x:f>IF(C8="","",C8-B8)</x:f>
      </x:c>
      <x:c r="E8" s="163" t="str">
        <x:f>IF(D8="","",IF(D8&gt;=0,"On / Ahead",IF(D8&gt;=-0.05,"Watch","Behind")))</x:f>
      </x:c>
      <x:c r="G8" s="167"/>
      <x:c r="H8" s="168"/>
      <x:c r="I8" s="170"/>
      <x:c r="J8"/>
      <x:c r="K8"/>
      <x:c r="L8"/>
      <x:c r="M8" t="str">
        <x:f>IF(A8="","",TEXT(A8,"mmm d"))</x:f>
      </x:c>
      <x:c r="N8" s="14" t="e">
        <x:f>IF(B8="",NA(),B8)</x:f>
        <x:v>#N/A</x:v>
      </x:c>
      <x:c r="O8" s="14" t="e">
        <x:f>IF(OR(P8="",$B$2="",$F$2="",P8&lt;$B$2,P8&gt;$F$2),NA(),IF(Q8=0,IF($F$2=$B$2,$H$2,MAX(0,MIN(1,$H$2*(3*MAX(0,MIN(1,(P8-$B$2)/($F$2-$B$2)))^2-2*MAX(0,MIN(1,(P8-$B$2)/($F$2-$B$2)))^3)))),MAX(0,MIN(1,T8+(V8-T8)*(3*W8^2-2*W8^3)))))</x:f>
        <x:v>#N/A</x:v>
      </x:c>
      <x:c r="P8" s="189" t="str">
        <x:f>A8</x:f>
      </x:c>
      <x:c r="Q8" t="n">
        <x:f>COUNT($G$7:$G$106)</x:f>
        <x:v>0</x:v>
      </x:c>
      <x:c r="R8" t="str">
        <x:f>IF(OR(P8="",$B$2="",$F$2="",P8&lt;$B$2,P8&gt;$F$2),"",IF(Q8=0,0,IF(P8&lt;$G$7,0,IF(P8&gt;=INDEX($G$7:$G$106,Q8),Q8,MATCH(P8,$G$7:$G$106,1)))))</x:f>
      </x:c>
      <x:c r="S8" t="str">
        <x:f>IF(R8="","",IF(R8=0,$B$2,INDEX($G$7:$G$106,R8)))</x:f>
      </x:c>
      <x:c r="T8" s="14" t="str">
        <x:f>IF(R8="","",IF(R8=0,0,INDEX($H$7:$H$106,R8)))</x:f>
      </x:c>
      <x:c r="U8" t="str">
        <x:f>IF(R8="","",IF(Q8=0,$F$2,IF(R8=0,$G$7,IF(R8&lt;Q8,INDEX($G$7:$G$106,R8+1),$F$2))))</x:f>
      </x:c>
      <x:c r="V8" s="14" t="str">
        <x:f>IF(R8="","",IF(Q8=0,$H$2,IF(R8=0,$H$7,IF(R8&lt;Q8,INDEX($H$7:$H$106,R8+1),$H$2))))</x:f>
      </x:c>
      <x:c r="W8" s="188" t="str">
        <x:f>IF(R8="","",IF(U8=S8,1,MAX(0,MIN(1,(P8-S8)/(U8-S8)))))</x:f>
      </x:c>
    </x:row>
    <x:row r="9">
      <x:c r="A9" s="159" t="str">
        <x:f>IF(OR(A8="",A8&gt;=$D$2),"",A8+1)</x:f>
      </x:c>
      <x:c r="B9" s="162" t="str">
        <x:f>IF(A9="","",IFERROR(SUMPRODUCT(--('Project Plan'!$A$7:$A$206&lt;&gt;""),('Project Plan'!$P$7:$P$206+('Project Plan'!$P$7:$P$206="")),--('Project Plan'!$F$7:$F$206&lt;&gt;""),--('Project Plan'!$G$7:$G$206&lt;&gt;""),((A9&gt;='Project Plan'!$G$7:$G$206)+((A9&gt;='Project Plan'!$F$7:$F$206)*(A9&lt;'Project Plan'!$G$7:$G$206)*(A9-'Project Plan'!$F$7:$F$206+1)/('Project Plan'!$G$7:$G$206-'Project Plan'!$F$7:$F$206+1))))/SUMPRODUCT(--('Project Plan'!$A$7:$A$206&lt;&gt;""),('Project Plan'!$P$7:$P$206+('Project Plan'!$P$7:$P$206=""))),0))</x:f>
      </x:c>
      <x:c r="C9" s="162" t="str">
        <x:f>IF(A9="","",IF(A9&gt;$F$2,"",IF(A9=$F$2,$H$2,IFERROR(LOOKUP(2,1/(($G$7:$G$106&lt;&gt;"")*($G$7:$G$106&lt;=A9)),$H$7:$H$106),""))))</x:f>
      </x:c>
      <x:c r="D9" s="162" t="str">
        <x:f>IF(C9="","",C9-B9)</x:f>
      </x:c>
      <x:c r="E9" s="163" t="str">
        <x:f>IF(D9="","",IF(D9&gt;=0,"On / Ahead",IF(D9&gt;=-0.05,"Watch","Behind")))</x:f>
      </x:c>
      <x:c r="G9" s="167"/>
      <x:c r="H9" s="168"/>
      <x:c r="I9" s="170"/>
      <x:c r="J9"/>
      <x:c r="K9"/>
      <x:c r="L9"/>
      <x:c r="M9" t="str">
        <x:f>IF(A9="","",TEXT(A9,"mmm d"))</x:f>
      </x:c>
      <x:c r="N9" s="14" t="e">
        <x:f>IF(B9="",NA(),B9)</x:f>
        <x:v>#N/A</x:v>
      </x:c>
      <x:c r="O9" s="14" t="e">
        <x:f>IF(OR(P9="",$B$2="",$F$2="",P9&lt;$B$2,P9&gt;$F$2),NA(),IF(Q9=0,IF($F$2=$B$2,$H$2,MAX(0,MIN(1,$H$2*(3*MAX(0,MIN(1,(P9-$B$2)/($F$2-$B$2)))^2-2*MAX(0,MIN(1,(P9-$B$2)/($F$2-$B$2)))^3)))),MAX(0,MIN(1,T9+(V9-T9)*(3*W9^2-2*W9^3)))))</x:f>
        <x:v>#N/A</x:v>
      </x:c>
      <x:c r="P9" s="189" t="str">
        <x:f>A9</x:f>
      </x:c>
      <x:c r="Q9" t="n">
        <x:f>COUNT($G$7:$G$106)</x:f>
        <x:v>0</x:v>
      </x:c>
      <x:c r="R9" t="str">
        <x:f>IF(OR(P9="",$B$2="",$F$2="",P9&lt;$B$2,P9&gt;$F$2),"",IF(Q9=0,0,IF(P9&lt;$G$7,0,IF(P9&gt;=INDEX($G$7:$G$106,Q9),Q9,MATCH(P9,$G$7:$G$106,1)))))</x:f>
      </x:c>
      <x:c r="S9" t="str">
        <x:f>IF(R9="","",IF(R9=0,$B$2,INDEX($G$7:$G$106,R9)))</x:f>
      </x:c>
      <x:c r="T9" s="14" t="str">
        <x:f>IF(R9="","",IF(R9=0,0,INDEX($H$7:$H$106,R9)))</x:f>
      </x:c>
      <x:c r="U9" t="str">
        <x:f>IF(R9="","",IF(Q9=0,$F$2,IF(R9=0,$G$7,IF(R9&lt;Q9,INDEX($G$7:$G$106,R9+1),$F$2))))</x:f>
      </x:c>
      <x:c r="V9" s="14" t="str">
        <x:f>IF(R9="","",IF(Q9=0,$H$2,IF(R9=0,$H$7,IF(R9&lt;Q9,INDEX($H$7:$H$106,R9+1),$H$2))))</x:f>
      </x:c>
      <x:c r="W9" s="188" t="str">
        <x:f>IF(R9="","",IF(U9=S9,1,MAX(0,MIN(1,(P9-S9)/(U9-S9)))))</x:f>
      </x:c>
    </x:row>
    <x:row r="10">
      <x:c r="A10" s="159" t="str">
        <x:f>IF(OR(A9="",A9&gt;=$D$2),"",A9+1)</x:f>
      </x:c>
      <x:c r="B10" s="162" t="str">
        <x:f>IF(A10="","",IFERROR(SUMPRODUCT(--('Project Plan'!$A$7:$A$206&lt;&gt;""),('Project Plan'!$P$7:$P$206+('Project Plan'!$P$7:$P$206="")),--('Project Plan'!$F$7:$F$206&lt;&gt;""),--('Project Plan'!$G$7:$G$206&lt;&gt;""),((A10&gt;='Project Plan'!$G$7:$G$206)+((A10&gt;='Project Plan'!$F$7:$F$206)*(A10&lt;'Project Plan'!$G$7:$G$206)*(A10-'Project Plan'!$F$7:$F$206+1)/('Project Plan'!$G$7:$G$206-'Project Plan'!$F$7:$F$206+1))))/SUMPRODUCT(--('Project Plan'!$A$7:$A$206&lt;&gt;""),('Project Plan'!$P$7:$P$206+('Project Plan'!$P$7:$P$206=""))),0))</x:f>
      </x:c>
      <x:c r="C10" s="162" t="str">
        <x:f>IF(A10="","",IF(A10&gt;$F$2,"",IF(A10=$F$2,$H$2,IFERROR(LOOKUP(2,1/(($G$7:$G$106&lt;&gt;"")*($G$7:$G$106&lt;=A10)),$H$7:$H$106),""))))</x:f>
      </x:c>
      <x:c r="D10" s="162" t="str">
        <x:f>IF(C10="","",C10-B10)</x:f>
      </x:c>
      <x:c r="E10" s="163" t="str">
        <x:f>IF(D10="","",IF(D10&gt;=0,"On / Ahead",IF(D10&gt;=-0.05,"Watch","Behind")))</x:f>
      </x:c>
      <x:c r="G10" s="167"/>
      <x:c r="H10" s="168"/>
      <x:c r="I10" s="170"/>
      <x:c r="J10"/>
      <x:c r="K10"/>
      <x:c r="L10"/>
      <x:c r="M10" t="str">
        <x:f>IF(A10="","",TEXT(A10,"mmm d"))</x:f>
      </x:c>
      <x:c r="N10" s="14" t="e">
        <x:f>IF(B10="",NA(),B10)</x:f>
        <x:v>#N/A</x:v>
      </x:c>
      <x:c r="O10" s="14" t="e">
        <x:f>IF(OR(P10="",$B$2="",$F$2="",P10&lt;$B$2,P10&gt;$F$2),NA(),IF(Q10=0,IF($F$2=$B$2,$H$2,MAX(0,MIN(1,$H$2*(3*MAX(0,MIN(1,(P10-$B$2)/($F$2-$B$2)))^2-2*MAX(0,MIN(1,(P10-$B$2)/($F$2-$B$2)))^3)))),MAX(0,MIN(1,T10+(V10-T10)*(3*W10^2-2*W10^3)))))</x:f>
        <x:v>#N/A</x:v>
      </x:c>
      <x:c r="P10" s="189" t="str">
        <x:f>A10</x:f>
      </x:c>
      <x:c r="Q10" t="n">
        <x:f>COUNT($G$7:$G$106)</x:f>
        <x:v>0</x:v>
      </x:c>
      <x:c r="R10" t="str">
        <x:f>IF(OR(P10="",$B$2="",$F$2="",P10&lt;$B$2,P10&gt;$F$2),"",IF(Q10=0,0,IF(P10&lt;$G$7,0,IF(P10&gt;=INDEX($G$7:$G$106,Q10),Q10,MATCH(P10,$G$7:$G$106,1)))))</x:f>
      </x:c>
      <x:c r="S10" t="str">
        <x:f>IF(R10="","",IF(R10=0,$B$2,INDEX($G$7:$G$106,R10)))</x:f>
      </x:c>
      <x:c r="T10" s="14" t="str">
        <x:f>IF(R10="","",IF(R10=0,0,INDEX($H$7:$H$106,R10)))</x:f>
      </x:c>
      <x:c r="U10" t="str">
        <x:f>IF(R10="","",IF(Q10=0,$F$2,IF(R10=0,$G$7,IF(R10&lt;Q10,INDEX($G$7:$G$106,R10+1),$F$2))))</x:f>
      </x:c>
      <x:c r="V10" s="14" t="str">
        <x:f>IF(R10="","",IF(Q10=0,$H$2,IF(R10=0,$H$7,IF(R10&lt;Q10,INDEX($H$7:$H$106,R10+1),$H$2))))</x:f>
      </x:c>
      <x:c r="W10" s="188" t="str">
        <x:f>IF(R10="","",IF(U10=S10,1,MAX(0,MIN(1,(P10-S10)/(U10-S10)))))</x:f>
      </x:c>
    </x:row>
    <x:row r="11">
      <x:c r="A11" s="159" t="str">
        <x:f>IF(OR(A10="",A10&gt;=$D$2),"",A10+1)</x:f>
      </x:c>
      <x:c r="B11" s="162" t="str">
        <x:f>IF(A11="","",IFERROR(SUMPRODUCT(--('Project Plan'!$A$7:$A$206&lt;&gt;""),('Project Plan'!$P$7:$P$206+('Project Plan'!$P$7:$P$206="")),--('Project Plan'!$F$7:$F$206&lt;&gt;""),--('Project Plan'!$G$7:$G$206&lt;&gt;""),((A11&gt;='Project Plan'!$G$7:$G$206)+((A11&gt;='Project Plan'!$F$7:$F$206)*(A11&lt;'Project Plan'!$G$7:$G$206)*(A11-'Project Plan'!$F$7:$F$206+1)/('Project Plan'!$G$7:$G$206-'Project Plan'!$F$7:$F$206+1))))/SUMPRODUCT(--('Project Plan'!$A$7:$A$206&lt;&gt;""),('Project Plan'!$P$7:$P$206+('Project Plan'!$P$7:$P$206=""))),0))</x:f>
      </x:c>
      <x:c r="C11" s="162" t="str">
        <x:f>IF(A11="","",IF(A11&gt;$F$2,"",IF(A11=$F$2,$H$2,IFERROR(LOOKUP(2,1/(($G$7:$G$106&lt;&gt;"")*($G$7:$G$106&lt;=A11)),$H$7:$H$106),""))))</x:f>
      </x:c>
      <x:c r="D11" s="162" t="str">
        <x:f>IF(C11="","",C11-B11)</x:f>
      </x:c>
      <x:c r="E11" s="163" t="str">
        <x:f>IF(D11="","",IF(D11&gt;=0,"On / Ahead",IF(D11&gt;=-0.05,"Watch","Behind")))</x:f>
      </x:c>
      <x:c r="G11" s="167"/>
      <x:c r="H11" s="168"/>
      <x:c r="I11" s="170"/>
      <x:c r="J11"/>
      <x:c r="K11"/>
      <x:c r="L11"/>
      <x:c r="M11" t="str">
        <x:f>IF(A11="","",TEXT(A11,"mmm d"))</x:f>
      </x:c>
      <x:c r="N11" s="14" t="e">
        <x:f>IF(B11="",NA(),B11)</x:f>
        <x:v>#N/A</x:v>
      </x:c>
      <x:c r="O11" s="14" t="e">
        <x:f>IF(OR(P11="",$B$2="",$F$2="",P11&lt;$B$2,P11&gt;$F$2),NA(),IF(Q11=0,IF($F$2=$B$2,$H$2,MAX(0,MIN(1,$H$2*(3*MAX(0,MIN(1,(P11-$B$2)/($F$2-$B$2)))^2-2*MAX(0,MIN(1,(P11-$B$2)/($F$2-$B$2)))^3)))),MAX(0,MIN(1,T11+(V11-T11)*(3*W11^2-2*W11^3)))))</x:f>
        <x:v>#N/A</x:v>
      </x:c>
      <x:c r="P11" s="189" t="str">
        <x:f>A11</x:f>
      </x:c>
      <x:c r="Q11" t="n">
        <x:f>COUNT($G$7:$G$106)</x:f>
        <x:v>0</x:v>
      </x:c>
      <x:c r="R11" t="str">
        <x:f>IF(OR(P11="",$B$2="",$F$2="",P11&lt;$B$2,P11&gt;$F$2),"",IF(Q11=0,0,IF(P11&lt;$G$7,0,IF(P11&gt;=INDEX($G$7:$G$106,Q11),Q11,MATCH(P11,$G$7:$G$106,1)))))</x:f>
      </x:c>
      <x:c r="S11" t="str">
        <x:f>IF(R11="","",IF(R11=0,$B$2,INDEX($G$7:$G$106,R11)))</x:f>
      </x:c>
      <x:c r="T11" s="14" t="str">
        <x:f>IF(R11="","",IF(R11=0,0,INDEX($H$7:$H$106,R11)))</x:f>
      </x:c>
      <x:c r="U11" t="str">
        <x:f>IF(R11="","",IF(Q11=0,$F$2,IF(R11=0,$G$7,IF(R11&lt;Q11,INDEX($G$7:$G$106,R11+1),$F$2))))</x:f>
      </x:c>
      <x:c r="V11" s="14" t="str">
        <x:f>IF(R11="","",IF(Q11=0,$H$2,IF(R11=0,$H$7,IF(R11&lt;Q11,INDEX($H$7:$H$106,R11+1),$H$2))))</x:f>
      </x:c>
      <x:c r="W11" s="188" t="str">
        <x:f>IF(R11="","",IF(U11=S11,1,MAX(0,MIN(1,(P11-S11)/(U11-S11)))))</x:f>
      </x:c>
    </x:row>
    <x:row r="12">
      <x:c r="A12" s="159" t="str">
        <x:f>IF(OR(A11="",A11&gt;=$D$2),"",A11+1)</x:f>
      </x:c>
      <x:c r="B12" s="162" t="str">
        <x:f>IF(A12="","",IFERROR(SUMPRODUCT(--('Project Plan'!$A$7:$A$206&lt;&gt;""),('Project Plan'!$P$7:$P$206+('Project Plan'!$P$7:$P$206="")),--('Project Plan'!$F$7:$F$206&lt;&gt;""),--('Project Plan'!$G$7:$G$206&lt;&gt;""),((A12&gt;='Project Plan'!$G$7:$G$206)+((A12&gt;='Project Plan'!$F$7:$F$206)*(A12&lt;'Project Plan'!$G$7:$G$206)*(A12-'Project Plan'!$F$7:$F$206+1)/('Project Plan'!$G$7:$G$206-'Project Plan'!$F$7:$F$206+1))))/SUMPRODUCT(--('Project Plan'!$A$7:$A$206&lt;&gt;""),('Project Plan'!$P$7:$P$206+('Project Plan'!$P$7:$P$206=""))),0))</x:f>
      </x:c>
      <x:c r="C12" s="162" t="str">
        <x:f>IF(A12="","",IF(A12&gt;$F$2,"",IF(A12=$F$2,$H$2,IFERROR(LOOKUP(2,1/(($G$7:$G$106&lt;&gt;"")*($G$7:$G$106&lt;=A12)),$H$7:$H$106),""))))</x:f>
      </x:c>
      <x:c r="D12" s="162" t="str">
        <x:f>IF(C12="","",C12-B12)</x:f>
      </x:c>
      <x:c r="E12" s="163" t="str">
        <x:f>IF(D12="","",IF(D12&gt;=0,"On / Ahead",IF(D12&gt;=-0.05,"Watch","Behind")))</x:f>
      </x:c>
      <x:c r="G12" s="167"/>
      <x:c r="H12" s="168"/>
      <x:c r="I12" s="170"/>
      <x:c r="J12"/>
      <x:c r="K12"/>
      <x:c r="L12"/>
      <x:c r="M12" t="str">
        <x:f>IF(A12="","",TEXT(A12,"mmm d"))</x:f>
      </x:c>
      <x:c r="N12" s="14" t="e">
        <x:f>IF(B12="",NA(),B12)</x:f>
        <x:v>#N/A</x:v>
      </x:c>
      <x:c r="O12" s="14" t="e">
        <x:f>IF(OR(P12="",$B$2="",$F$2="",P12&lt;$B$2,P12&gt;$F$2),NA(),IF(Q12=0,IF($F$2=$B$2,$H$2,MAX(0,MIN(1,$H$2*(3*MAX(0,MIN(1,(P12-$B$2)/($F$2-$B$2)))^2-2*MAX(0,MIN(1,(P12-$B$2)/($F$2-$B$2)))^3)))),MAX(0,MIN(1,T12+(V12-T12)*(3*W12^2-2*W12^3)))))</x:f>
        <x:v>#N/A</x:v>
      </x:c>
      <x:c r="P12" s="189" t="str">
        <x:f>A12</x:f>
      </x:c>
      <x:c r="Q12" t="n">
        <x:f>COUNT($G$7:$G$106)</x:f>
        <x:v>0</x:v>
      </x:c>
      <x:c r="R12" t="str">
        <x:f>IF(OR(P12="",$B$2="",$F$2="",P12&lt;$B$2,P12&gt;$F$2),"",IF(Q12=0,0,IF(P12&lt;$G$7,0,IF(P12&gt;=INDEX($G$7:$G$106,Q12),Q12,MATCH(P12,$G$7:$G$106,1)))))</x:f>
      </x:c>
      <x:c r="S12" t="str">
        <x:f>IF(R12="","",IF(R12=0,$B$2,INDEX($G$7:$G$106,R12)))</x:f>
      </x:c>
      <x:c r="T12" s="14" t="str">
        <x:f>IF(R12="","",IF(R12=0,0,INDEX($H$7:$H$106,R12)))</x:f>
      </x:c>
      <x:c r="U12" t="str">
        <x:f>IF(R12="","",IF(Q12=0,$F$2,IF(R12=0,$G$7,IF(R12&lt;Q12,INDEX($G$7:$G$106,R12+1),$F$2))))</x:f>
      </x:c>
      <x:c r="V12" s="14" t="str">
        <x:f>IF(R12="","",IF(Q12=0,$H$2,IF(R12=0,$H$7,IF(R12&lt;Q12,INDEX($H$7:$H$106,R12+1),$H$2))))</x:f>
      </x:c>
      <x:c r="W12" s="188" t="str">
        <x:f>IF(R12="","",IF(U12=S12,1,MAX(0,MIN(1,(P12-S12)/(U12-S12)))))</x:f>
      </x:c>
    </x:row>
    <x:row r="13">
      <x:c r="A13" s="159" t="str">
        <x:f>IF(OR(A12="",A12&gt;=$D$2),"",A12+1)</x:f>
      </x:c>
      <x:c r="B13" s="162" t="str">
        <x:f>IF(A13="","",IFERROR(SUMPRODUCT(--('Project Plan'!$A$7:$A$206&lt;&gt;""),('Project Plan'!$P$7:$P$206+('Project Plan'!$P$7:$P$206="")),--('Project Plan'!$F$7:$F$206&lt;&gt;""),--('Project Plan'!$G$7:$G$206&lt;&gt;""),((A13&gt;='Project Plan'!$G$7:$G$206)+((A13&gt;='Project Plan'!$F$7:$F$206)*(A13&lt;'Project Plan'!$G$7:$G$206)*(A13-'Project Plan'!$F$7:$F$206+1)/('Project Plan'!$G$7:$G$206-'Project Plan'!$F$7:$F$206+1))))/SUMPRODUCT(--('Project Plan'!$A$7:$A$206&lt;&gt;""),('Project Plan'!$P$7:$P$206+('Project Plan'!$P$7:$P$206=""))),0))</x:f>
      </x:c>
      <x:c r="C13" s="162" t="str">
        <x:f>IF(A13="","",IF(A13&gt;$F$2,"",IF(A13=$F$2,$H$2,IFERROR(LOOKUP(2,1/(($G$7:$G$106&lt;&gt;"")*($G$7:$G$106&lt;=A13)),$H$7:$H$106),""))))</x:f>
      </x:c>
      <x:c r="D13" s="162" t="str">
        <x:f>IF(C13="","",C13-B13)</x:f>
      </x:c>
      <x:c r="E13" s="163" t="str">
        <x:f>IF(D13="","",IF(D13&gt;=0,"On / Ahead",IF(D13&gt;=-0.05,"Watch","Behind")))</x:f>
      </x:c>
      <x:c r="G13" s="167"/>
      <x:c r="H13" s="168"/>
      <x:c r="I13" s="170"/>
      <x:c r="J13"/>
      <x:c r="K13"/>
      <x:c r="L13"/>
      <x:c r="M13" t="str">
        <x:f>IF(A13="","",TEXT(A13,"mmm d"))</x:f>
      </x:c>
      <x:c r="N13" s="14" t="e">
        <x:f>IF(B13="",NA(),B13)</x:f>
        <x:v>#N/A</x:v>
      </x:c>
      <x:c r="O13" s="14" t="e">
        <x:f>IF(OR(P13="",$B$2="",$F$2="",P13&lt;$B$2,P13&gt;$F$2),NA(),IF(Q13=0,IF($F$2=$B$2,$H$2,MAX(0,MIN(1,$H$2*(3*MAX(0,MIN(1,(P13-$B$2)/($F$2-$B$2)))^2-2*MAX(0,MIN(1,(P13-$B$2)/($F$2-$B$2)))^3)))),MAX(0,MIN(1,T13+(V13-T13)*(3*W13^2-2*W13^3)))))</x:f>
        <x:v>#N/A</x:v>
      </x:c>
      <x:c r="P13" s="189" t="str">
        <x:f>A13</x:f>
      </x:c>
      <x:c r="Q13" t="n">
        <x:f>COUNT($G$7:$G$106)</x:f>
        <x:v>0</x:v>
      </x:c>
      <x:c r="R13" t="str">
        <x:f>IF(OR(P13="",$B$2="",$F$2="",P13&lt;$B$2,P13&gt;$F$2),"",IF(Q13=0,0,IF(P13&lt;$G$7,0,IF(P13&gt;=INDEX($G$7:$G$106,Q13),Q13,MATCH(P13,$G$7:$G$106,1)))))</x:f>
      </x:c>
      <x:c r="S13" t="str">
        <x:f>IF(R13="","",IF(R13=0,$B$2,INDEX($G$7:$G$106,R13)))</x:f>
      </x:c>
      <x:c r="T13" s="14" t="str">
        <x:f>IF(R13="","",IF(R13=0,0,INDEX($H$7:$H$106,R13)))</x:f>
      </x:c>
      <x:c r="U13" t="str">
        <x:f>IF(R13="","",IF(Q13=0,$F$2,IF(R13=0,$G$7,IF(R13&lt;Q13,INDEX($G$7:$G$106,R13+1),$F$2))))</x:f>
      </x:c>
      <x:c r="V13" s="14" t="str">
        <x:f>IF(R13="","",IF(Q13=0,$H$2,IF(R13=0,$H$7,IF(R13&lt;Q13,INDEX($H$7:$H$106,R13+1),$H$2))))</x:f>
      </x:c>
      <x:c r="W13" s="188" t="str">
        <x:f>IF(R13="","",IF(U13=S13,1,MAX(0,MIN(1,(P13-S13)/(U13-S13)))))</x:f>
      </x:c>
    </x:row>
    <x:row r="14">
      <x:c r="A14" s="159" t="str">
        <x:f>IF(OR(A13="",A13&gt;=$D$2),"",A13+1)</x:f>
      </x:c>
      <x:c r="B14" s="162" t="str">
        <x:f>IF(A14="","",IFERROR(SUMPRODUCT(--('Project Plan'!$A$7:$A$206&lt;&gt;""),('Project Plan'!$P$7:$P$206+('Project Plan'!$P$7:$P$206="")),--('Project Plan'!$F$7:$F$206&lt;&gt;""),--('Project Plan'!$G$7:$G$206&lt;&gt;""),((A14&gt;='Project Plan'!$G$7:$G$206)+((A14&gt;='Project Plan'!$F$7:$F$206)*(A14&lt;'Project Plan'!$G$7:$G$206)*(A14-'Project Plan'!$F$7:$F$206+1)/('Project Plan'!$G$7:$G$206-'Project Plan'!$F$7:$F$206+1))))/SUMPRODUCT(--('Project Plan'!$A$7:$A$206&lt;&gt;""),('Project Plan'!$P$7:$P$206+('Project Plan'!$P$7:$P$206=""))),0))</x:f>
      </x:c>
      <x:c r="C14" s="162" t="str">
        <x:f>IF(A14="","",IF(A14&gt;$F$2,"",IF(A14=$F$2,$H$2,IFERROR(LOOKUP(2,1/(($G$7:$G$106&lt;&gt;"")*($G$7:$G$106&lt;=A14)),$H$7:$H$106),""))))</x:f>
      </x:c>
      <x:c r="D14" s="162" t="str">
        <x:f>IF(C14="","",C14-B14)</x:f>
      </x:c>
      <x:c r="E14" s="163" t="str">
        <x:f>IF(D14="","",IF(D14&gt;=0,"On / Ahead",IF(D14&gt;=-0.05,"Watch","Behind")))</x:f>
      </x:c>
      <x:c r="G14" s="167"/>
      <x:c r="H14" s="168"/>
      <x:c r="I14" s="170"/>
      <x:c r="J14"/>
      <x:c r="K14"/>
      <x:c r="L14"/>
      <x:c r="M14" t="str">
        <x:f>IF(A14="","",TEXT(A14,"mmm d"))</x:f>
      </x:c>
      <x:c r="N14" s="14" t="e">
        <x:f>IF(B14="",NA(),B14)</x:f>
        <x:v>#N/A</x:v>
      </x:c>
      <x:c r="O14" s="14" t="e">
        <x:f>IF(OR(P14="",$B$2="",$F$2="",P14&lt;$B$2,P14&gt;$F$2),NA(),IF(Q14=0,IF($F$2=$B$2,$H$2,MAX(0,MIN(1,$H$2*(3*MAX(0,MIN(1,(P14-$B$2)/($F$2-$B$2)))^2-2*MAX(0,MIN(1,(P14-$B$2)/($F$2-$B$2)))^3)))),MAX(0,MIN(1,T14+(V14-T14)*(3*W14^2-2*W14^3)))))</x:f>
        <x:v>#N/A</x:v>
      </x:c>
      <x:c r="P14" s="189" t="str">
        <x:f>A14</x:f>
      </x:c>
      <x:c r="Q14" t="n">
        <x:f>COUNT($G$7:$G$106)</x:f>
        <x:v>0</x:v>
      </x:c>
      <x:c r="R14" t="str">
        <x:f>IF(OR(P14="",$B$2="",$F$2="",P14&lt;$B$2,P14&gt;$F$2),"",IF(Q14=0,0,IF(P14&lt;$G$7,0,IF(P14&gt;=INDEX($G$7:$G$106,Q14),Q14,MATCH(P14,$G$7:$G$106,1)))))</x:f>
      </x:c>
      <x:c r="S14" t="str">
        <x:f>IF(R14="","",IF(R14=0,$B$2,INDEX($G$7:$G$106,R14)))</x:f>
      </x:c>
      <x:c r="T14" s="14" t="str">
        <x:f>IF(R14="","",IF(R14=0,0,INDEX($H$7:$H$106,R14)))</x:f>
      </x:c>
      <x:c r="U14" t="str">
        <x:f>IF(R14="","",IF(Q14=0,$F$2,IF(R14=0,$G$7,IF(R14&lt;Q14,INDEX($G$7:$G$106,R14+1),$F$2))))</x:f>
      </x:c>
      <x:c r="V14" s="14" t="str">
        <x:f>IF(R14="","",IF(Q14=0,$H$2,IF(R14=0,$H$7,IF(R14&lt;Q14,INDEX($H$7:$H$106,R14+1),$H$2))))</x:f>
      </x:c>
      <x:c r="W14" s="188" t="str">
        <x:f>IF(R14="","",IF(U14=S14,1,MAX(0,MIN(1,(P14-S14)/(U14-S14)))))</x:f>
      </x:c>
    </x:row>
    <x:row r="15">
      <x:c r="A15" s="159" t="str">
        <x:f>IF(OR(A14="",A14&gt;=$D$2),"",A14+1)</x:f>
      </x:c>
      <x:c r="B15" s="162" t="str">
        <x:f>IF(A15="","",IFERROR(SUMPRODUCT(--('Project Plan'!$A$7:$A$206&lt;&gt;""),('Project Plan'!$P$7:$P$206+('Project Plan'!$P$7:$P$206="")),--('Project Plan'!$F$7:$F$206&lt;&gt;""),--('Project Plan'!$G$7:$G$206&lt;&gt;""),((A15&gt;='Project Plan'!$G$7:$G$206)+((A15&gt;='Project Plan'!$F$7:$F$206)*(A15&lt;'Project Plan'!$G$7:$G$206)*(A15-'Project Plan'!$F$7:$F$206+1)/('Project Plan'!$G$7:$G$206-'Project Plan'!$F$7:$F$206+1))))/SUMPRODUCT(--('Project Plan'!$A$7:$A$206&lt;&gt;""),('Project Plan'!$P$7:$P$206+('Project Plan'!$P$7:$P$206=""))),0))</x:f>
      </x:c>
      <x:c r="C15" s="162" t="str">
        <x:f>IF(A15="","",IF(A15&gt;$F$2,"",IF(A15=$F$2,$H$2,IFERROR(LOOKUP(2,1/(($G$7:$G$106&lt;&gt;"")*($G$7:$G$106&lt;=A15)),$H$7:$H$106),""))))</x:f>
      </x:c>
      <x:c r="D15" s="162" t="str">
        <x:f>IF(C15="","",C15-B15)</x:f>
      </x:c>
      <x:c r="E15" s="163" t="str">
        <x:f>IF(D15="","",IF(D15&gt;=0,"On / Ahead",IF(D15&gt;=-0.05,"Watch","Behind")))</x:f>
      </x:c>
      <x:c r="G15" s="167"/>
      <x:c r="H15" s="168"/>
      <x:c r="I15" s="170"/>
      <x:c r="J15"/>
      <x:c r="K15"/>
      <x:c r="L15"/>
      <x:c r="M15" t="str">
        <x:f>IF(A15="","",TEXT(A15,"mmm d"))</x:f>
      </x:c>
      <x:c r="N15" s="14" t="e">
        <x:f>IF(B15="",NA(),B15)</x:f>
        <x:v>#N/A</x:v>
      </x:c>
      <x:c r="O15" s="14" t="e">
        <x:f>IF(OR(P15="",$B$2="",$F$2="",P15&lt;$B$2,P15&gt;$F$2),NA(),IF(Q15=0,IF($F$2=$B$2,$H$2,MAX(0,MIN(1,$H$2*(3*MAX(0,MIN(1,(P15-$B$2)/($F$2-$B$2)))^2-2*MAX(0,MIN(1,(P15-$B$2)/($F$2-$B$2)))^3)))),MAX(0,MIN(1,T15+(V15-T15)*(3*W15^2-2*W15^3)))))</x:f>
        <x:v>#N/A</x:v>
      </x:c>
      <x:c r="P15" s="189" t="str">
        <x:f>A15</x:f>
      </x:c>
      <x:c r="Q15" t="n">
        <x:f>COUNT($G$7:$G$106)</x:f>
        <x:v>0</x:v>
      </x:c>
      <x:c r="R15" t="str">
        <x:f>IF(OR(P15="",$B$2="",$F$2="",P15&lt;$B$2,P15&gt;$F$2),"",IF(Q15=0,0,IF(P15&lt;$G$7,0,IF(P15&gt;=INDEX($G$7:$G$106,Q15),Q15,MATCH(P15,$G$7:$G$106,1)))))</x:f>
      </x:c>
      <x:c r="S15" t="str">
        <x:f>IF(R15="","",IF(R15=0,$B$2,INDEX($G$7:$G$106,R15)))</x:f>
      </x:c>
      <x:c r="T15" s="14" t="str">
        <x:f>IF(R15="","",IF(R15=0,0,INDEX($H$7:$H$106,R15)))</x:f>
      </x:c>
      <x:c r="U15" t="str">
        <x:f>IF(R15="","",IF(Q15=0,$F$2,IF(R15=0,$G$7,IF(R15&lt;Q15,INDEX($G$7:$G$106,R15+1),$F$2))))</x:f>
      </x:c>
      <x:c r="V15" s="14" t="str">
        <x:f>IF(R15="","",IF(Q15=0,$H$2,IF(R15=0,$H$7,IF(R15&lt;Q15,INDEX($H$7:$H$106,R15+1),$H$2))))</x:f>
      </x:c>
      <x:c r="W15" s="188" t="str">
        <x:f>IF(R15="","",IF(U15=S15,1,MAX(0,MIN(1,(P15-S15)/(U15-S15)))))</x:f>
      </x:c>
    </x:row>
    <x:row r="16">
      <x:c r="A16" s="159" t="str">
        <x:f>IF(OR(A15="",A15&gt;=$D$2),"",A15+1)</x:f>
      </x:c>
      <x:c r="B16" s="162" t="str">
        <x:f>IF(A16="","",IFERROR(SUMPRODUCT(--('Project Plan'!$A$7:$A$206&lt;&gt;""),('Project Plan'!$P$7:$P$206+('Project Plan'!$P$7:$P$206="")),--('Project Plan'!$F$7:$F$206&lt;&gt;""),--('Project Plan'!$G$7:$G$206&lt;&gt;""),((A16&gt;='Project Plan'!$G$7:$G$206)+((A16&gt;='Project Plan'!$F$7:$F$206)*(A16&lt;'Project Plan'!$G$7:$G$206)*(A16-'Project Plan'!$F$7:$F$206+1)/('Project Plan'!$G$7:$G$206-'Project Plan'!$F$7:$F$206+1))))/SUMPRODUCT(--('Project Plan'!$A$7:$A$206&lt;&gt;""),('Project Plan'!$P$7:$P$206+('Project Plan'!$P$7:$P$206=""))),0))</x:f>
      </x:c>
      <x:c r="C16" s="162" t="str">
        <x:f>IF(A16="","",IF(A16&gt;$F$2,"",IF(A16=$F$2,$H$2,IFERROR(LOOKUP(2,1/(($G$7:$G$106&lt;&gt;"")*($G$7:$G$106&lt;=A16)),$H$7:$H$106),""))))</x:f>
      </x:c>
      <x:c r="D16" s="162" t="str">
        <x:f>IF(C16="","",C16-B16)</x:f>
      </x:c>
      <x:c r="E16" s="163" t="str">
        <x:f>IF(D16="","",IF(D16&gt;=0,"On / Ahead",IF(D16&gt;=-0.05,"Watch","Behind")))</x:f>
      </x:c>
      <x:c r="G16" s="167"/>
      <x:c r="H16" s="168"/>
      <x:c r="I16" s="170"/>
      <x:c r="J16"/>
      <x:c r="K16"/>
      <x:c r="L16"/>
      <x:c r="M16" t="str">
        <x:f>IF(A16="","",TEXT(A16,"mmm d"))</x:f>
      </x:c>
      <x:c r="N16" s="14" t="e">
        <x:f>IF(B16="",NA(),B16)</x:f>
        <x:v>#N/A</x:v>
      </x:c>
      <x:c r="O16" s="14" t="e">
        <x:f>IF(OR(P16="",$B$2="",$F$2="",P16&lt;$B$2,P16&gt;$F$2),NA(),IF(Q16=0,IF($F$2=$B$2,$H$2,MAX(0,MIN(1,$H$2*(3*MAX(0,MIN(1,(P16-$B$2)/($F$2-$B$2)))^2-2*MAX(0,MIN(1,(P16-$B$2)/($F$2-$B$2)))^3)))),MAX(0,MIN(1,T16+(V16-T16)*(3*W16^2-2*W16^3)))))</x:f>
        <x:v>#N/A</x:v>
      </x:c>
      <x:c r="P16" s="189" t="str">
        <x:f>A16</x:f>
      </x:c>
      <x:c r="Q16" t="n">
        <x:f>COUNT($G$7:$G$106)</x:f>
        <x:v>0</x:v>
      </x:c>
      <x:c r="R16" t="str">
        <x:f>IF(OR(P16="",$B$2="",$F$2="",P16&lt;$B$2,P16&gt;$F$2),"",IF(Q16=0,0,IF(P16&lt;$G$7,0,IF(P16&gt;=INDEX($G$7:$G$106,Q16),Q16,MATCH(P16,$G$7:$G$106,1)))))</x:f>
      </x:c>
      <x:c r="S16" t="str">
        <x:f>IF(R16="","",IF(R16=0,$B$2,INDEX($G$7:$G$106,R16)))</x:f>
      </x:c>
      <x:c r="T16" s="14" t="str">
        <x:f>IF(R16="","",IF(R16=0,0,INDEX($H$7:$H$106,R16)))</x:f>
      </x:c>
      <x:c r="U16" t="str">
        <x:f>IF(R16="","",IF(Q16=0,$F$2,IF(R16=0,$G$7,IF(R16&lt;Q16,INDEX($G$7:$G$106,R16+1),$F$2))))</x:f>
      </x:c>
      <x:c r="V16" s="14" t="str">
        <x:f>IF(R16="","",IF(Q16=0,$H$2,IF(R16=0,$H$7,IF(R16&lt;Q16,INDEX($H$7:$H$106,R16+1),$H$2))))</x:f>
      </x:c>
      <x:c r="W16" s="188" t="str">
        <x:f>IF(R16="","",IF(U16=S16,1,MAX(0,MIN(1,(P16-S16)/(U16-S16)))))</x:f>
      </x:c>
    </x:row>
    <x:row r="17">
      <x:c r="A17" s="159" t="str">
        <x:f>IF(OR(A16="",A16&gt;=$D$2),"",A16+1)</x:f>
      </x:c>
      <x:c r="B17" s="162" t="str">
        <x:f>IF(A17="","",IFERROR(SUMPRODUCT(--('Project Plan'!$A$7:$A$206&lt;&gt;""),('Project Plan'!$P$7:$P$206+('Project Plan'!$P$7:$P$206="")),--('Project Plan'!$F$7:$F$206&lt;&gt;""),--('Project Plan'!$G$7:$G$206&lt;&gt;""),((A17&gt;='Project Plan'!$G$7:$G$206)+((A17&gt;='Project Plan'!$F$7:$F$206)*(A17&lt;'Project Plan'!$G$7:$G$206)*(A17-'Project Plan'!$F$7:$F$206+1)/('Project Plan'!$G$7:$G$206-'Project Plan'!$F$7:$F$206+1))))/SUMPRODUCT(--('Project Plan'!$A$7:$A$206&lt;&gt;""),('Project Plan'!$P$7:$P$206+('Project Plan'!$P$7:$P$206=""))),0))</x:f>
      </x:c>
      <x:c r="C17" s="162" t="str">
        <x:f>IF(A17="","",IF(A17&gt;$F$2,"",IF(A17=$F$2,$H$2,IFERROR(LOOKUP(2,1/(($G$7:$G$106&lt;&gt;"")*($G$7:$G$106&lt;=A17)),$H$7:$H$106),""))))</x:f>
      </x:c>
      <x:c r="D17" s="162" t="str">
        <x:f>IF(C17="","",C17-B17)</x:f>
      </x:c>
      <x:c r="E17" s="163" t="str">
        <x:f>IF(D17="","",IF(D17&gt;=0,"On / Ahead",IF(D17&gt;=-0.05,"Watch","Behind")))</x:f>
      </x:c>
      <x:c r="G17" s="167"/>
      <x:c r="H17" s="168"/>
      <x:c r="I17" s="170"/>
      <x:c r="J17"/>
      <x:c r="K17"/>
      <x:c r="L17"/>
      <x:c r="M17" t="str">
        <x:f>IF(A17="","",TEXT(A17,"mmm d"))</x:f>
      </x:c>
      <x:c r="N17" s="14" t="e">
        <x:f>IF(B17="",NA(),B17)</x:f>
        <x:v>#N/A</x:v>
      </x:c>
      <x:c r="O17" s="14" t="e">
        <x:f>IF(OR(P17="",$B$2="",$F$2="",P17&lt;$B$2,P17&gt;$F$2),NA(),IF(Q17=0,IF($F$2=$B$2,$H$2,MAX(0,MIN(1,$H$2*(3*MAX(0,MIN(1,(P17-$B$2)/($F$2-$B$2)))^2-2*MAX(0,MIN(1,(P17-$B$2)/($F$2-$B$2)))^3)))),MAX(0,MIN(1,T17+(V17-T17)*(3*W17^2-2*W17^3)))))</x:f>
        <x:v>#N/A</x:v>
      </x:c>
      <x:c r="P17" s="189" t="str">
        <x:f>A17</x:f>
      </x:c>
      <x:c r="Q17" t="n">
        <x:f>COUNT($G$7:$G$106)</x:f>
        <x:v>0</x:v>
      </x:c>
      <x:c r="R17" t="str">
        <x:f>IF(OR(P17="",$B$2="",$F$2="",P17&lt;$B$2,P17&gt;$F$2),"",IF(Q17=0,0,IF(P17&lt;$G$7,0,IF(P17&gt;=INDEX($G$7:$G$106,Q17),Q17,MATCH(P17,$G$7:$G$106,1)))))</x:f>
      </x:c>
      <x:c r="S17" t="str">
        <x:f>IF(R17="","",IF(R17=0,$B$2,INDEX($G$7:$G$106,R17)))</x:f>
      </x:c>
      <x:c r="T17" s="14" t="str">
        <x:f>IF(R17="","",IF(R17=0,0,INDEX($H$7:$H$106,R17)))</x:f>
      </x:c>
      <x:c r="U17" t="str">
        <x:f>IF(R17="","",IF(Q17=0,$F$2,IF(R17=0,$G$7,IF(R17&lt;Q17,INDEX($G$7:$G$106,R17+1),$F$2))))</x:f>
      </x:c>
      <x:c r="V17" s="14" t="str">
        <x:f>IF(R17="","",IF(Q17=0,$H$2,IF(R17=0,$H$7,IF(R17&lt;Q17,INDEX($H$7:$H$106,R17+1),$H$2))))</x:f>
      </x:c>
      <x:c r="W17" s="188" t="str">
        <x:f>IF(R17="","",IF(U17=S17,1,MAX(0,MIN(1,(P17-S17)/(U17-S17)))))</x:f>
      </x:c>
    </x:row>
    <x:row r="18">
      <x:c r="A18" s="159" t="str">
        <x:f>IF(OR(A17="",A17&gt;=$D$2),"",A17+1)</x:f>
      </x:c>
      <x:c r="B18" s="162" t="str">
        <x:f>IF(A18="","",IFERROR(SUMPRODUCT(--('Project Plan'!$A$7:$A$206&lt;&gt;""),('Project Plan'!$P$7:$P$206+('Project Plan'!$P$7:$P$206="")),--('Project Plan'!$F$7:$F$206&lt;&gt;""),--('Project Plan'!$G$7:$G$206&lt;&gt;""),((A18&gt;='Project Plan'!$G$7:$G$206)+((A18&gt;='Project Plan'!$F$7:$F$206)*(A18&lt;'Project Plan'!$G$7:$G$206)*(A18-'Project Plan'!$F$7:$F$206+1)/('Project Plan'!$G$7:$G$206-'Project Plan'!$F$7:$F$206+1))))/SUMPRODUCT(--('Project Plan'!$A$7:$A$206&lt;&gt;""),('Project Plan'!$P$7:$P$206+('Project Plan'!$P$7:$P$206=""))),0))</x:f>
      </x:c>
      <x:c r="C18" s="162" t="str">
        <x:f>IF(A18="","",IF(A18&gt;$F$2,"",IF(A18=$F$2,$H$2,IFERROR(LOOKUP(2,1/(($G$7:$G$106&lt;&gt;"")*($G$7:$G$106&lt;=A18)),$H$7:$H$106),""))))</x:f>
      </x:c>
      <x:c r="D18" s="162" t="str">
        <x:f>IF(C18="","",C18-B18)</x:f>
      </x:c>
      <x:c r="E18" s="163" t="str">
        <x:f>IF(D18="","",IF(D18&gt;=0,"On / Ahead",IF(D18&gt;=-0.05,"Watch","Behind")))</x:f>
      </x:c>
      <x:c r="G18" s="167"/>
      <x:c r="H18" s="168"/>
      <x:c r="I18" s="170"/>
      <x:c r="J18"/>
      <x:c r="K18"/>
      <x:c r="L18"/>
      <x:c r="M18" t="str">
        <x:f>IF(A18="","",TEXT(A18,"mmm d"))</x:f>
      </x:c>
      <x:c r="N18" s="14" t="e">
        <x:f>IF(B18="",NA(),B18)</x:f>
        <x:v>#N/A</x:v>
      </x:c>
      <x:c r="O18" s="14" t="e">
        <x:f>IF(OR(P18="",$B$2="",$F$2="",P18&lt;$B$2,P18&gt;$F$2),NA(),IF(Q18=0,IF($F$2=$B$2,$H$2,MAX(0,MIN(1,$H$2*(3*MAX(0,MIN(1,(P18-$B$2)/($F$2-$B$2)))^2-2*MAX(0,MIN(1,(P18-$B$2)/($F$2-$B$2)))^3)))),MAX(0,MIN(1,T18+(V18-T18)*(3*W18^2-2*W18^3)))))</x:f>
        <x:v>#N/A</x:v>
      </x:c>
      <x:c r="P18" s="189" t="str">
        <x:f>A18</x:f>
      </x:c>
      <x:c r="Q18" t="n">
        <x:f>COUNT($G$7:$G$106)</x:f>
        <x:v>0</x:v>
      </x:c>
      <x:c r="R18" t="str">
        <x:f>IF(OR(P18="",$B$2="",$F$2="",P18&lt;$B$2,P18&gt;$F$2),"",IF(Q18=0,0,IF(P18&lt;$G$7,0,IF(P18&gt;=INDEX($G$7:$G$106,Q18),Q18,MATCH(P18,$G$7:$G$106,1)))))</x:f>
      </x:c>
      <x:c r="S18" t="str">
        <x:f>IF(R18="","",IF(R18=0,$B$2,INDEX($G$7:$G$106,R18)))</x:f>
      </x:c>
      <x:c r="T18" s="14" t="str">
        <x:f>IF(R18="","",IF(R18=0,0,INDEX($H$7:$H$106,R18)))</x:f>
      </x:c>
      <x:c r="U18" t="str">
        <x:f>IF(R18="","",IF(Q18=0,$F$2,IF(R18=0,$G$7,IF(R18&lt;Q18,INDEX($G$7:$G$106,R18+1),$F$2))))</x:f>
      </x:c>
      <x:c r="V18" s="14" t="str">
        <x:f>IF(R18="","",IF(Q18=0,$H$2,IF(R18=0,$H$7,IF(R18&lt;Q18,INDEX($H$7:$H$106,R18+1),$H$2))))</x:f>
      </x:c>
      <x:c r="W18" s="188" t="str">
        <x:f>IF(R18="","",IF(U18=S18,1,MAX(0,MIN(1,(P18-S18)/(U18-S18)))))</x:f>
      </x:c>
    </x:row>
    <x:row r="19">
      <x:c r="A19" s="159" t="str">
        <x:f>IF(OR(A18="",A18&gt;=$D$2),"",A18+1)</x:f>
      </x:c>
      <x:c r="B19" s="162" t="str">
        <x:f>IF(A19="","",IFERROR(SUMPRODUCT(--('Project Plan'!$A$7:$A$206&lt;&gt;""),('Project Plan'!$P$7:$P$206+('Project Plan'!$P$7:$P$206="")),--('Project Plan'!$F$7:$F$206&lt;&gt;""),--('Project Plan'!$G$7:$G$206&lt;&gt;""),((A19&gt;='Project Plan'!$G$7:$G$206)+((A19&gt;='Project Plan'!$F$7:$F$206)*(A19&lt;'Project Plan'!$G$7:$G$206)*(A19-'Project Plan'!$F$7:$F$206+1)/('Project Plan'!$G$7:$G$206-'Project Plan'!$F$7:$F$206+1))))/SUMPRODUCT(--('Project Plan'!$A$7:$A$206&lt;&gt;""),('Project Plan'!$P$7:$P$206+('Project Plan'!$P$7:$P$206=""))),0))</x:f>
      </x:c>
      <x:c r="C19" s="162" t="str">
        <x:f>IF(A19="","",IF(A19&gt;$F$2,"",IF(A19=$F$2,$H$2,IFERROR(LOOKUP(2,1/(($G$7:$G$106&lt;&gt;"")*($G$7:$G$106&lt;=A19)),$H$7:$H$106),""))))</x:f>
      </x:c>
      <x:c r="D19" s="162" t="str">
        <x:f>IF(C19="","",C19-B19)</x:f>
      </x:c>
      <x:c r="E19" s="163" t="str">
        <x:f>IF(D19="","",IF(D19&gt;=0,"On / Ahead",IF(D19&gt;=-0.05,"Watch","Behind")))</x:f>
      </x:c>
      <x:c r="G19" s="167"/>
      <x:c r="H19" s="168"/>
      <x:c r="I19" s="170"/>
      <x:c r="J19"/>
      <x:c r="K19"/>
      <x:c r="L19"/>
      <x:c r="M19" t="str">
        <x:f>IF(A19="","",TEXT(A19,"mmm d"))</x:f>
      </x:c>
      <x:c r="N19" s="14" t="e">
        <x:f>IF(B19="",NA(),B19)</x:f>
        <x:v>#N/A</x:v>
      </x:c>
      <x:c r="O19" s="14" t="e">
        <x:f>IF(OR(P19="",$B$2="",$F$2="",P19&lt;$B$2,P19&gt;$F$2),NA(),IF(Q19=0,IF($F$2=$B$2,$H$2,MAX(0,MIN(1,$H$2*(3*MAX(0,MIN(1,(P19-$B$2)/($F$2-$B$2)))^2-2*MAX(0,MIN(1,(P19-$B$2)/($F$2-$B$2)))^3)))),MAX(0,MIN(1,T19+(V19-T19)*(3*W19^2-2*W19^3)))))</x:f>
        <x:v>#N/A</x:v>
      </x:c>
      <x:c r="P19" s="189" t="str">
        <x:f>A19</x:f>
      </x:c>
      <x:c r="Q19" t="n">
        <x:f>COUNT($G$7:$G$106)</x:f>
        <x:v>0</x:v>
      </x:c>
      <x:c r="R19" t="str">
        <x:f>IF(OR(P19="",$B$2="",$F$2="",P19&lt;$B$2,P19&gt;$F$2),"",IF(Q19=0,0,IF(P19&lt;$G$7,0,IF(P19&gt;=INDEX($G$7:$G$106,Q19),Q19,MATCH(P19,$G$7:$G$106,1)))))</x:f>
      </x:c>
      <x:c r="S19" t="str">
        <x:f>IF(R19="","",IF(R19=0,$B$2,INDEX($G$7:$G$106,R19)))</x:f>
      </x:c>
      <x:c r="T19" s="14" t="str">
        <x:f>IF(R19="","",IF(R19=0,0,INDEX($H$7:$H$106,R19)))</x:f>
      </x:c>
      <x:c r="U19" t="str">
        <x:f>IF(R19="","",IF(Q19=0,$F$2,IF(R19=0,$G$7,IF(R19&lt;Q19,INDEX($G$7:$G$106,R19+1),$F$2))))</x:f>
      </x:c>
      <x:c r="V19" s="14" t="str">
        <x:f>IF(R19="","",IF(Q19=0,$H$2,IF(R19=0,$H$7,IF(R19&lt;Q19,INDEX($H$7:$H$106,R19+1),$H$2))))</x:f>
      </x:c>
      <x:c r="W19" s="188" t="str">
        <x:f>IF(R19="","",IF(U19=S19,1,MAX(0,MIN(1,(P19-S19)/(U19-S19)))))</x:f>
      </x:c>
    </x:row>
    <x:row r="20">
      <x:c r="A20" s="159" t="str">
        <x:f>IF(OR(A19="",A19&gt;=$D$2),"",A19+1)</x:f>
      </x:c>
      <x:c r="B20" s="162" t="str">
        <x:f>IF(A20="","",IFERROR(SUMPRODUCT(--('Project Plan'!$A$7:$A$206&lt;&gt;""),('Project Plan'!$P$7:$P$206+('Project Plan'!$P$7:$P$206="")),--('Project Plan'!$F$7:$F$206&lt;&gt;""),--('Project Plan'!$G$7:$G$206&lt;&gt;""),((A20&gt;='Project Plan'!$G$7:$G$206)+((A20&gt;='Project Plan'!$F$7:$F$206)*(A20&lt;'Project Plan'!$G$7:$G$206)*(A20-'Project Plan'!$F$7:$F$206+1)/('Project Plan'!$G$7:$G$206-'Project Plan'!$F$7:$F$206+1))))/SUMPRODUCT(--('Project Plan'!$A$7:$A$206&lt;&gt;""),('Project Plan'!$P$7:$P$206+('Project Plan'!$P$7:$P$206=""))),0))</x:f>
      </x:c>
      <x:c r="C20" s="162" t="str">
        <x:f>IF(A20="","",IF(A20&gt;$F$2,"",IF(A20=$F$2,$H$2,IFERROR(LOOKUP(2,1/(($G$7:$G$106&lt;&gt;"")*($G$7:$G$106&lt;=A20)),$H$7:$H$106),""))))</x:f>
      </x:c>
      <x:c r="D20" s="162" t="str">
        <x:f>IF(C20="","",C20-B20)</x:f>
      </x:c>
      <x:c r="E20" s="163" t="str">
        <x:f>IF(D20="","",IF(D20&gt;=0,"On / Ahead",IF(D20&gt;=-0.05,"Watch","Behind")))</x:f>
      </x:c>
      <x:c r="G20" s="167"/>
      <x:c r="H20" s="168"/>
      <x:c r="I20" s="170"/>
      <x:c r="J20"/>
      <x:c r="K20"/>
      <x:c r="L20"/>
      <x:c r="M20" t="str">
        <x:f>IF(A20="","",TEXT(A20,"mmm d"))</x:f>
      </x:c>
      <x:c r="N20" s="14" t="e">
        <x:f>IF(B20="",NA(),B20)</x:f>
        <x:v>#N/A</x:v>
      </x:c>
      <x:c r="O20" s="14" t="e">
        <x:f>IF(OR(P20="",$B$2="",$F$2="",P20&lt;$B$2,P20&gt;$F$2),NA(),IF(Q20=0,IF($F$2=$B$2,$H$2,MAX(0,MIN(1,$H$2*(3*MAX(0,MIN(1,(P20-$B$2)/($F$2-$B$2)))^2-2*MAX(0,MIN(1,(P20-$B$2)/($F$2-$B$2)))^3)))),MAX(0,MIN(1,T20+(V20-T20)*(3*W20^2-2*W20^3)))))</x:f>
        <x:v>#N/A</x:v>
      </x:c>
      <x:c r="P20" s="189" t="str">
        <x:f>A20</x:f>
      </x:c>
      <x:c r="Q20" t="n">
        <x:f>COUNT($G$7:$G$106)</x:f>
        <x:v>0</x:v>
      </x:c>
      <x:c r="R20" t="str">
        <x:f>IF(OR(P20="",$B$2="",$F$2="",P20&lt;$B$2,P20&gt;$F$2),"",IF(Q20=0,0,IF(P20&lt;$G$7,0,IF(P20&gt;=INDEX($G$7:$G$106,Q20),Q20,MATCH(P20,$G$7:$G$106,1)))))</x:f>
      </x:c>
      <x:c r="S20" t="str">
        <x:f>IF(R20="","",IF(R20=0,$B$2,INDEX($G$7:$G$106,R20)))</x:f>
      </x:c>
      <x:c r="T20" s="14" t="str">
        <x:f>IF(R20="","",IF(R20=0,0,INDEX($H$7:$H$106,R20)))</x:f>
      </x:c>
      <x:c r="U20" t="str">
        <x:f>IF(R20="","",IF(Q20=0,$F$2,IF(R20=0,$G$7,IF(R20&lt;Q20,INDEX($G$7:$G$106,R20+1),$F$2))))</x:f>
      </x:c>
      <x:c r="V20" s="14" t="str">
        <x:f>IF(R20="","",IF(Q20=0,$H$2,IF(R20=0,$H$7,IF(R20&lt;Q20,INDEX($H$7:$H$106,R20+1),$H$2))))</x:f>
      </x:c>
      <x:c r="W20" s="188" t="str">
        <x:f>IF(R20="","",IF(U20=S20,1,MAX(0,MIN(1,(P20-S20)/(U20-S20)))))</x:f>
      </x:c>
    </x:row>
    <x:row r="21">
      <x:c r="A21" s="159" t="str">
        <x:f>IF(OR(A20="",A20&gt;=$D$2),"",A20+1)</x:f>
      </x:c>
      <x:c r="B21" s="162" t="str">
        <x:f>IF(A21="","",IFERROR(SUMPRODUCT(--('Project Plan'!$A$7:$A$206&lt;&gt;""),('Project Plan'!$P$7:$P$206+('Project Plan'!$P$7:$P$206="")),--('Project Plan'!$F$7:$F$206&lt;&gt;""),--('Project Plan'!$G$7:$G$206&lt;&gt;""),((A21&gt;='Project Plan'!$G$7:$G$206)+((A21&gt;='Project Plan'!$F$7:$F$206)*(A21&lt;'Project Plan'!$G$7:$G$206)*(A21-'Project Plan'!$F$7:$F$206+1)/('Project Plan'!$G$7:$G$206-'Project Plan'!$F$7:$F$206+1))))/SUMPRODUCT(--('Project Plan'!$A$7:$A$206&lt;&gt;""),('Project Plan'!$P$7:$P$206+('Project Plan'!$P$7:$P$206=""))),0))</x:f>
      </x:c>
      <x:c r="C21" s="162" t="str">
        <x:f>IF(A21="","",IF(A21&gt;$F$2,"",IF(A21=$F$2,$H$2,IFERROR(LOOKUP(2,1/(($G$7:$G$106&lt;&gt;"")*($G$7:$G$106&lt;=A21)),$H$7:$H$106),""))))</x:f>
      </x:c>
      <x:c r="D21" s="162" t="str">
        <x:f>IF(C21="","",C21-B21)</x:f>
      </x:c>
      <x:c r="E21" s="163" t="str">
        <x:f>IF(D21="","",IF(D21&gt;=0,"On / Ahead",IF(D21&gt;=-0.05,"Watch","Behind")))</x:f>
      </x:c>
      <x:c r="G21" s="167"/>
      <x:c r="H21" s="168"/>
      <x:c r="I21" s="170"/>
      <x:c r="J21"/>
      <x:c r="K21"/>
      <x:c r="L21"/>
      <x:c r="M21" t="str">
        <x:f>IF(A21="","",TEXT(A21,"mmm d"))</x:f>
      </x:c>
      <x:c r="N21" s="14" t="e">
        <x:f>IF(B21="",NA(),B21)</x:f>
        <x:v>#N/A</x:v>
      </x:c>
      <x:c r="O21" s="14" t="e">
        <x:f>IF(OR(P21="",$B$2="",$F$2="",P21&lt;$B$2,P21&gt;$F$2),NA(),IF(Q21=0,IF($F$2=$B$2,$H$2,MAX(0,MIN(1,$H$2*(3*MAX(0,MIN(1,(P21-$B$2)/($F$2-$B$2)))^2-2*MAX(0,MIN(1,(P21-$B$2)/($F$2-$B$2)))^3)))),MAX(0,MIN(1,T21+(V21-T21)*(3*W21^2-2*W21^3)))))</x:f>
        <x:v>#N/A</x:v>
      </x:c>
      <x:c r="P21" s="189" t="str">
        <x:f>A21</x:f>
      </x:c>
      <x:c r="Q21" t="n">
        <x:f>COUNT($G$7:$G$106)</x:f>
        <x:v>0</x:v>
      </x:c>
      <x:c r="R21" t="str">
        <x:f>IF(OR(P21="",$B$2="",$F$2="",P21&lt;$B$2,P21&gt;$F$2),"",IF(Q21=0,0,IF(P21&lt;$G$7,0,IF(P21&gt;=INDEX($G$7:$G$106,Q21),Q21,MATCH(P21,$G$7:$G$106,1)))))</x:f>
      </x:c>
      <x:c r="S21" t="str">
        <x:f>IF(R21="","",IF(R21=0,$B$2,INDEX($G$7:$G$106,R21)))</x:f>
      </x:c>
      <x:c r="T21" s="14" t="str">
        <x:f>IF(R21="","",IF(R21=0,0,INDEX($H$7:$H$106,R21)))</x:f>
      </x:c>
      <x:c r="U21" t="str">
        <x:f>IF(R21="","",IF(Q21=0,$F$2,IF(R21=0,$G$7,IF(R21&lt;Q21,INDEX($G$7:$G$106,R21+1),$F$2))))</x:f>
      </x:c>
      <x:c r="V21" s="14" t="str">
        <x:f>IF(R21="","",IF(Q21=0,$H$2,IF(R21=0,$H$7,IF(R21&lt;Q21,INDEX($H$7:$H$106,R21+1),$H$2))))</x:f>
      </x:c>
      <x:c r="W21" s="188" t="str">
        <x:f>IF(R21="","",IF(U21=S21,1,MAX(0,MIN(1,(P21-S21)/(U21-S21)))))</x:f>
      </x:c>
    </x:row>
    <x:row r="22">
      <x:c r="A22" s="159" t="str">
        <x:f>IF(OR(A21="",A21&gt;=$D$2),"",A21+1)</x:f>
      </x:c>
      <x:c r="B22" s="162" t="str">
        <x:f>IF(A22="","",IFERROR(SUMPRODUCT(--('Project Plan'!$A$7:$A$206&lt;&gt;""),('Project Plan'!$P$7:$P$206+('Project Plan'!$P$7:$P$206="")),--('Project Plan'!$F$7:$F$206&lt;&gt;""),--('Project Plan'!$G$7:$G$206&lt;&gt;""),((A22&gt;='Project Plan'!$G$7:$G$206)+((A22&gt;='Project Plan'!$F$7:$F$206)*(A22&lt;'Project Plan'!$G$7:$G$206)*(A22-'Project Plan'!$F$7:$F$206+1)/('Project Plan'!$G$7:$G$206-'Project Plan'!$F$7:$F$206+1))))/SUMPRODUCT(--('Project Plan'!$A$7:$A$206&lt;&gt;""),('Project Plan'!$P$7:$P$206+('Project Plan'!$P$7:$P$206=""))),0))</x:f>
      </x:c>
      <x:c r="C22" s="162" t="str">
        <x:f>IF(A22="","",IF(A22&gt;$F$2,"",IF(A22=$F$2,$H$2,IFERROR(LOOKUP(2,1/(($G$7:$G$106&lt;&gt;"")*($G$7:$G$106&lt;=A22)),$H$7:$H$106),""))))</x:f>
      </x:c>
      <x:c r="D22" s="162" t="str">
        <x:f>IF(C22="","",C22-B22)</x:f>
      </x:c>
      <x:c r="E22" s="163" t="str">
        <x:f>IF(D22="","",IF(D22&gt;=0,"On / Ahead",IF(D22&gt;=-0.05,"Watch","Behind")))</x:f>
      </x:c>
      <x:c r="G22" s="167"/>
      <x:c r="H22" s="168"/>
      <x:c r="I22" s="170"/>
      <x:c r="J22"/>
      <x:c r="K22"/>
      <x:c r="L22"/>
      <x:c r="M22" t="str">
        <x:f>IF(A22="","",TEXT(A22,"mmm d"))</x:f>
      </x:c>
      <x:c r="N22" s="14" t="e">
        <x:f>IF(B22="",NA(),B22)</x:f>
        <x:v>#N/A</x:v>
      </x:c>
      <x:c r="O22" s="14" t="e">
        <x:f>IF(OR(P22="",$B$2="",$F$2="",P22&lt;$B$2,P22&gt;$F$2),NA(),IF(Q22=0,IF($F$2=$B$2,$H$2,MAX(0,MIN(1,$H$2*(3*MAX(0,MIN(1,(P22-$B$2)/($F$2-$B$2)))^2-2*MAX(0,MIN(1,(P22-$B$2)/($F$2-$B$2)))^3)))),MAX(0,MIN(1,T22+(V22-T22)*(3*W22^2-2*W22^3)))))</x:f>
        <x:v>#N/A</x:v>
      </x:c>
      <x:c r="P22" s="189" t="str">
        <x:f>A22</x:f>
      </x:c>
      <x:c r="Q22" t="n">
        <x:f>COUNT($G$7:$G$106)</x:f>
        <x:v>0</x:v>
      </x:c>
      <x:c r="R22" t="str">
        <x:f>IF(OR(P22="",$B$2="",$F$2="",P22&lt;$B$2,P22&gt;$F$2),"",IF(Q22=0,0,IF(P22&lt;$G$7,0,IF(P22&gt;=INDEX($G$7:$G$106,Q22),Q22,MATCH(P22,$G$7:$G$106,1)))))</x:f>
      </x:c>
      <x:c r="S22" t="str">
        <x:f>IF(R22="","",IF(R22=0,$B$2,INDEX($G$7:$G$106,R22)))</x:f>
      </x:c>
      <x:c r="T22" s="14" t="str">
        <x:f>IF(R22="","",IF(R22=0,0,INDEX($H$7:$H$106,R22)))</x:f>
      </x:c>
      <x:c r="U22" t="str">
        <x:f>IF(R22="","",IF(Q22=0,$F$2,IF(R22=0,$G$7,IF(R22&lt;Q22,INDEX($G$7:$G$106,R22+1),$F$2))))</x:f>
      </x:c>
      <x:c r="V22" s="14" t="str">
        <x:f>IF(R22="","",IF(Q22=0,$H$2,IF(R22=0,$H$7,IF(R22&lt;Q22,INDEX($H$7:$H$106,R22+1),$H$2))))</x:f>
      </x:c>
      <x:c r="W22" s="188" t="str">
        <x:f>IF(R22="","",IF(U22=S22,1,MAX(0,MIN(1,(P22-S22)/(U22-S22)))))</x:f>
      </x:c>
    </x:row>
    <x:row r="23">
      <x:c r="A23" s="159" t="str">
        <x:f>IF(OR(A22="",A22&gt;=$D$2),"",A22+1)</x:f>
      </x:c>
      <x:c r="B23" s="162" t="str">
        <x:f>IF(A23="","",IFERROR(SUMPRODUCT(--('Project Plan'!$A$7:$A$206&lt;&gt;""),('Project Plan'!$P$7:$P$206+('Project Plan'!$P$7:$P$206="")),--('Project Plan'!$F$7:$F$206&lt;&gt;""),--('Project Plan'!$G$7:$G$206&lt;&gt;""),((A23&gt;='Project Plan'!$G$7:$G$206)+((A23&gt;='Project Plan'!$F$7:$F$206)*(A23&lt;'Project Plan'!$G$7:$G$206)*(A23-'Project Plan'!$F$7:$F$206+1)/('Project Plan'!$G$7:$G$206-'Project Plan'!$F$7:$F$206+1))))/SUMPRODUCT(--('Project Plan'!$A$7:$A$206&lt;&gt;""),('Project Plan'!$P$7:$P$206+('Project Plan'!$P$7:$P$206=""))),0))</x:f>
      </x:c>
      <x:c r="C23" s="162" t="str">
        <x:f>IF(A23="","",IF(A23&gt;$F$2,"",IF(A23=$F$2,$H$2,IFERROR(LOOKUP(2,1/(($G$7:$G$106&lt;&gt;"")*($G$7:$G$106&lt;=A23)),$H$7:$H$106),""))))</x:f>
      </x:c>
      <x:c r="D23" s="162" t="str">
        <x:f>IF(C23="","",C23-B23)</x:f>
      </x:c>
      <x:c r="E23" s="163" t="str">
        <x:f>IF(D23="","",IF(D23&gt;=0,"On / Ahead",IF(D23&gt;=-0.05,"Watch","Behind")))</x:f>
      </x:c>
      <x:c r="G23" s="167"/>
      <x:c r="H23" s="168"/>
      <x:c r="I23" s="170"/>
      <x:c r="J23"/>
      <x:c r="K23"/>
      <x:c r="L23"/>
      <x:c r="M23" t="str">
        <x:f>IF(A23="","",TEXT(A23,"mmm d"))</x:f>
      </x:c>
      <x:c r="N23" s="14" t="e">
        <x:f>IF(B23="",NA(),B23)</x:f>
        <x:v>#N/A</x:v>
      </x:c>
      <x:c r="O23" s="14" t="e">
        <x:f>IF(OR(P23="",$B$2="",$F$2="",P23&lt;$B$2,P23&gt;$F$2),NA(),IF(Q23=0,IF($F$2=$B$2,$H$2,MAX(0,MIN(1,$H$2*(3*MAX(0,MIN(1,(P23-$B$2)/($F$2-$B$2)))^2-2*MAX(0,MIN(1,(P23-$B$2)/($F$2-$B$2)))^3)))),MAX(0,MIN(1,T23+(V23-T23)*(3*W23^2-2*W23^3)))))</x:f>
        <x:v>#N/A</x:v>
      </x:c>
      <x:c r="P23" s="189" t="str">
        <x:f>A23</x:f>
      </x:c>
      <x:c r="Q23" t="n">
        <x:f>COUNT($G$7:$G$106)</x:f>
        <x:v>0</x:v>
      </x:c>
      <x:c r="R23" t="str">
        <x:f>IF(OR(P23="",$B$2="",$F$2="",P23&lt;$B$2,P23&gt;$F$2),"",IF(Q23=0,0,IF(P23&lt;$G$7,0,IF(P23&gt;=INDEX($G$7:$G$106,Q23),Q23,MATCH(P23,$G$7:$G$106,1)))))</x:f>
      </x:c>
      <x:c r="S23" t="str">
        <x:f>IF(R23="","",IF(R23=0,$B$2,INDEX($G$7:$G$106,R23)))</x:f>
      </x:c>
      <x:c r="T23" s="14" t="str">
        <x:f>IF(R23="","",IF(R23=0,0,INDEX($H$7:$H$106,R23)))</x:f>
      </x:c>
      <x:c r="U23" t="str">
        <x:f>IF(R23="","",IF(Q23=0,$F$2,IF(R23=0,$G$7,IF(R23&lt;Q23,INDEX($G$7:$G$106,R23+1),$F$2))))</x:f>
      </x:c>
      <x:c r="V23" s="14" t="str">
        <x:f>IF(R23="","",IF(Q23=0,$H$2,IF(R23=0,$H$7,IF(R23&lt;Q23,INDEX($H$7:$H$106,R23+1),$H$2))))</x:f>
      </x:c>
      <x:c r="W23" s="188" t="str">
        <x:f>IF(R23="","",IF(U23=S23,1,MAX(0,MIN(1,(P23-S23)/(U23-S23)))))</x:f>
      </x:c>
    </x:row>
    <x:row r="24">
      <x:c r="A24" s="159" t="str">
        <x:f>IF(OR(A23="",A23&gt;=$D$2),"",A23+1)</x:f>
      </x:c>
      <x:c r="B24" s="162" t="str">
        <x:f>IF(A24="","",IFERROR(SUMPRODUCT(--('Project Plan'!$A$7:$A$206&lt;&gt;""),('Project Plan'!$P$7:$P$206+('Project Plan'!$P$7:$P$206="")),--('Project Plan'!$F$7:$F$206&lt;&gt;""),--('Project Plan'!$G$7:$G$206&lt;&gt;""),((A24&gt;='Project Plan'!$G$7:$G$206)+((A24&gt;='Project Plan'!$F$7:$F$206)*(A24&lt;'Project Plan'!$G$7:$G$206)*(A24-'Project Plan'!$F$7:$F$206+1)/('Project Plan'!$G$7:$G$206-'Project Plan'!$F$7:$F$206+1))))/SUMPRODUCT(--('Project Plan'!$A$7:$A$206&lt;&gt;""),('Project Plan'!$P$7:$P$206+('Project Plan'!$P$7:$P$206=""))),0))</x:f>
      </x:c>
      <x:c r="C24" s="162" t="str">
        <x:f>IF(A24="","",IF(A24&gt;$F$2,"",IF(A24=$F$2,$H$2,IFERROR(LOOKUP(2,1/(($G$7:$G$106&lt;&gt;"")*($G$7:$G$106&lt;=A24)),$H$7:$H$106),""))))</x:f>
      </x:c>
      <x:c r="D24" s="162" t="str">
        <x:f>IF(C24="","",C24-B24)</x:f>
      </x:c>
      <x:c r="E24" s="163" t="str">
        <x:f>IF(D24="","",IF(D24&gt;=0,"On / Ahead",IF(D24&gt;=-0.05,"Watch","Behind")))</x:f>
      </x:c>
      <x:c r="G24" s="167"/>
      <x:c r="H24" s="168"/>
      <x:c r="I24" s="170"/>
      <x:c r="J24"/>
      <x:c r="K24"/>
      <x:c r="L24"/>
      <x:c r="M24" t="str">
        <x:f>IF(A24="","",TEXT(A24,"mmm d"))</x:f>
      </x:c>
      <x:c r="N24" s="14" t="e">
        <x:f>IF(B24="",NA(),B24)</x:f>
        <x:v>#N/A</x:v>
      </x:c>
      <x:c r="O24" s="14" t="e">
        <x:f>IF(OR(P24="",$B$2="",$F$2="",P24&lt;$B$2,P24&gt;$F$2),NA(),IF(Q24=0,IF($F$2=$B$2,$H$2,MAX(0,MIN(1,$H$2*(3*MAX(0,MIN(1,(P24-$B$2)/($F$2-$B$2)))^2-2*MAX(0,MIN(1,(P24-$B$2)/($F$2-$B$2)))^3)))),MAX(0,MIN(1,T24+(V24-T24)*(3*W24^2-2*W24^3)))))</x:f>
        <x:v>#N/A</x:v>
      </x:c>
      <x:c r="P24" s="189" t="str">
        <x:f>A24</x:f>
      </x:c>
      <x:c r="Q24" t="n">
        <x:f>COUNT($G$7:$G$106)</x:f>
        <x:v>0</x:v>
      </x:c>
      <x:c r="R24" t="str">
        <x:f>IF(OR(P24="",$B$2="",$F$2="",P24&lt;$B$2,P24&gt;$F$2),"",IF(Q24=0,0,IF(P24&lt;$G$7,0,IF(P24&gt;=INDEX($G$7:$G$106,Q24),Q24,MATCH(P24,$G$7:$G$106,1)))))</x:f>
      </x:c>
      <x:c r="S24" t="str">
        <x:f>IF(R24="","",IF(R24=0,$B$2,INDEX($G$7:$G$106,R24)))</x:f>
      </x:c>
      <x:c r="T24" s="14" t="str">
        <x:f>IF(R24="","",IF(R24=0,0,INDEX($H$7:$H$106,R24)))</x:f>
      </x:c>
      <x:c r="U24" t="str">
        <x:f>IF(R24="","",IF(Q24=0,$F$2,IF(R24=0,$G$7,IF(R24&lt;Q24,INDEX($G$7:$G$106,R24+1),$F$2))))</x:f>
      </x:c>
      <x:c r="V24" s="14" t="str">
        <x:f>IF(R24="","",IF(Q24=0,$H$2,IF(R24=0,$H$7,IF(R24&lt;Q24,INDEX($H$7:$H$106,R24+1),$H$2))))</x:f>
      </x:c>
      <x:c r="W24" s="188" t="str">
        <x:f>IF(R24="","",IF(U24=S24,1,MAX(0,MIN(1,(P24-S24)/(U24-S24)))))</x:f>
      </x:c>
    </x:row>
    <x:row r="25">
      <x:c r="A25" s="159" t="str">
        <x:f>IF(OR(A24="",A24&gt;=$D$2),"",A24+1)</x:f>
      </x:c>
      <x:c r="B25" s="162" t="str">
        <x:f>IF(A25="","",IFERROR(SUMPRODUCT(--('Project Plan'!$A$7:$A$206&lt;&gt;""),('Project Plan'!$P$7:$P$206+('Project Plan'!$P$7:$P$206="")),--('Project Plan'!$F$7:$F$206&lt;&gt;""),--('Project Plan'!$G$7:$G$206&lt;&gt;""),((A25&gt;='Project Plan'!$G$7:$G$206)+((A25&gt;='Project Plan'!$F$7:$F$206)*(A25&lt;'Project Plan'!$G$7:$G$206)*(A25-'Project Plan'!$F$7:$F$206+1)/('Project Plan'!$G$7:$G$206-'Project Plan'!$F$7:$F$206+1))))/SUMPRODUCT(--('Project Plan'!$A$7:$A$206&lt;&gt;""),('Project Plan'!$P$7:$P$206+('Project Plan'!$P$7:$P$206=""))),0))</x:f>
      </x:c>
      <x:c r="C25" s="162" t="str">
        <x:f>IF(A25="","",IF(A25&gt;$F$2,"",IF(A25=$F$2,$H$2,IFERROR(LOOKUP(2,1/(($G$7:$G$106&lt;&gt;"")*($G$7:$G$106&lt;=A25)),$H$7:$H$106),""))))</x:f>
      </x:c>
      <x:c r="D25" s="162" t="str">
        <x:f>IF(C25="","",C25-B25)</x:f>
      </x:c>
      <x:c r="E25" s="163" t="str">
        <x:f>IF(D25="","",IF(D25&gt;=0,"On / Ahead",IF(D25&gt;=-0.05,"Watch","Behind")))</x:f>
      </x:c>
      <x:c r="G25" s="167"/>
      <x:c r="H25" s="168"/>
      <x:c r="I25" s="170"/>
      <x:c r="J25"/>
      <x:c r="K25"/>
      <x:c r="L25"/>
      <x:c r="M25" t="str">
        <x:f>IF(A25="","",TEXT(A25,"mmm d"))</x:f>
      </x:c>
      <x:c r="N25" s="14" t="e">
        <x:f>IF(B25="",NA(),B25)</x:f>
        <x:v>#N/A</x:v>
      </x:c>
      <x:c r="O25" s="14" t="e">
        <x:f>IF(OR(P25="",$B$2="",$F$2="",P25&lt;$B$2,P25&gt;$F$2),NA(),IF(Q25=0,IF($F$2=$B$2,$H$2,MAX(0,MIN(1,$H$2*(3*MAX(0,MIN(1,(P25-$B$2)/($F$2-$B$2)))^2-2*MAX(0,MIN(1,(P25-$B$2)/($F$2-$B$2)))^3)))),MAX(0,MIN(1,T25+(V25-T25)*(3*W25^2-2*W25^3)))))</x:f>
        <x:v>#N/A</x:v>
      </x:c>
      <x:c r="P25" s="189" t="str">
        <x:f>A25</x:f>
      </x:c>
      <x:c r="Q25" t="n">
        <x:f>COUNT($G$7:$G$106)</x:f>
        <x:v>0</x:v>
      </x:c>
      <x:c r="R25" t="str">
        <x:f>IF(OR(P25="",$B$2="",$F$2="",P25&lt;$B$2,P25&gt;$F$2),"",IF(Q25=0,0,IF(P25&lt;$G$7,0,IF(P25&gt;=INDEX($G$7:$G$106,Q25),Q25,MATCH(P25,$G$7:$G$106,1)))))</x:f>
      </x:c>
      <x:c r="S25" t="str">
        <x:f>IF(R25="","",IF(R25=0,$B$2,INDEX($G$7:$G$106,R25)))</x:f>
      </x:c>
      <x:c r="T25" s="14" t="str">
        <x:f>IF(R25="","",IF(R25=0,0,INDEX($H$7:$H$106,R25)))</x:f>
      </x:c>
      <x:c r="U25" t="str">
        <x:f>IF(R25="","",IF(Q25=0,$F$2,IF(R25=0,$G$7,IF(R25&lt;Q25,INDEX($G$7:$G$106,R25+1),$F$2))))</x:f>
      </x:c>
      <x:c r="V25" s="14" t="str">
        <x:f>IF(R25="","",IF(Q25=0,$H$2,IF(R25=0,$H$7,IF(R25&lt;Q25,INDEX($H$7:$H$106,R25+1),$H$2))))</x:f>
      </x:c>
      <x:c r="W25" s="188" t="str">
        <x:f>IF(R25="","",IF(U25=S25,1,MAX(0,MIN(1,(P25-S25)/(U25-S25)))))</x:f>
      </x:c>
    </x:row>
    <x:row r="26">
      <x:c r="A26" s="159" t="str">
        <x:f>IF(OR(A25="",A25&gt;=$D$2),"",A25+1)</x:f>
      </x:c>
      <x:c r="B26" s="162" t="str">
        <x:f>IF(A26="","",IFERROR(SUMPRODUCT(--('Project Plan'!$A$7:$A$206&lt;&gt;""),('Project Plan'!$P$7:$P$206+('Project Plan'!$P$7:$P$206="")),--('Project Plan'!$F$7:$F$206&lt;&gt;""),--('Project Plan'!$G$7:$G$206&lt;&gt;""),((A26&gt;='Project Plan'!$G$7:$G$206)+((A26&gt;='Project Plan'!$F$7:$F$206)*(A26&lt;'Project Plan'!$G$7:$G$206)*(A26-'Project Plan'!$F$7:$F$206+1)/('Project Plan'!$G$7:$G$206-'Project Plan'!$F$7:$F$206+1))))/SUMPRODUCT(--('Project Plan'!$A$7:$A$206&lt;&gt;""),('Project Plan'!$P$7:$P$206+('Project Plan'!$P$7:$P$206=""))),0))</x:f>
      </x:c>
      <x:c r="C26" s="162" t="str">
        <x:f>IF(A26="","",IF(A26&gt;$F$2,"",IF(A26=$F$2,$H$2,IFERROR(LOOKUP(2,1/(($G$7:$G$106&lt;&gt;"")*($G$7:$G$106&lt;=A26)),$H$7:$H$106),""))))</x:f>
      </x:c>
      <x:c r="D26" s="162" t="str">
        <x:f>IF(C26="","",C26-B26)</x:f>
      </x:c>
      <x:c r="E26" s="163" t="str">
        <x:f>IF(D26="","",IF(D26&gt;=0,"On / Ahead",IF(D26&gt;=-0.05,"Watch","Behind")))</x:f>
      </x:c>
      <x:c r="G26" s="167"/>
      <x:c r="H26" s="168"/>
      <x:c r="I26" s="170"/>
      <x:c r="J26"/>
      <x:c r="K26"/>
      <x:c r="L26"/>
      <x:c r="M26" t="str">
        <x:f>IF(A26="","",TEXT(A26,"mmm d"))</x:f>
      </x:c>
      <x:c r="N26" s="14" t="e">
        <x:f>IF(B26="",NA(),B26)</x:f>
        <x:v>#N/A</x:v>
      </x:c>
      <x:c r="O26" s="14" t="e">
        <x:f>IF(OR(P26="",$B$2="",$F$2="",P26&lt;$B$2,P26&gt;$F$2),NA(),IF(Q26=0,IF($F$2=$B$2,$H$2,MAX(0,MIN(1,$H$2*(3*MAX(0,MIN(1,(P26-$B$2)/($F$2-$B$2)))^2-2*MAX(0,MIN(1,(P26-$B$2)/($F$2-$B$2)))^3)))),MAX(0,MIN(1,T26+(V26-T26)*(3*W26^2-2*W26^3)))))</x:f>
        <x:v>#N/A</x:v>
      </x:c>
      <x:c r="P26" s="189" t="str">
        <x:f>A26</x:f>
      </x:c>
      <x:c r="Q26" t="n">
        <x:f>COUNT($G$7:$G$106)</x:f>
        <x:v>0</x:v>
      </x:c>
      <x:c r="R26" t="str">
        <x:f>IF(OR(P26="",$B$2="",$F$2="",P26&lt;$B$2,P26&gt;$F$2),"",IF(Q26=0,0,IF(P26&lt;$G$7,0,IF(P26&gt;=INDEX($G$7:$G$106,Q26),Q26,MATCH(P26,$G$7:$G$106,1)))))</x:f>
      </x:c>
      <x:c r="S26" t="str">
        <x:f>IF(R26="","",IF(R26=0,$B$2,INDEX($G$7:$G$106,R26)))</x:f>
      </x:c>
      <x:c r="T26" s="14" t="str">
        <x:f>IF(R26="","",IF(R26=0,0,INDEX($H$7:$H$106,R26)))</x:f>
      </x:c>
      <x:c r="U26" t="str">
        <x:f>IF(R26="","",IF(Q26=0,$F$2,IF(R26=0,$G$7,IF(R26&lt;Q26,INDEX($G$7:$G$106,R26+1),$F$2))))</x:f>
      </x:c>
      <x:c r="V26" s="14" t="str">
        <x:f>IF(R26="","",IF(Q26=0,$H$2,IF(R26=0,$H$7,IF(R26&lt;Q26,INDEX($H$7:$H$106,R26+1),$H$2))))</x:f>
      </x:c>
      <x:c r="W26" s="188" t="str">
        <x:f>IF(R26="","",IF(U26=S26,1,MAX(0,MIN(1,(P26-S26)/(U26-S26)))))</x:f>
      </x:c>
    </x:row>
    <x:row r="27">
      <x:c r="A27" s="159" t="str">
        <x:f>IF(OR(A26="",A26&gt;=$D$2),"",A26+1)</x:f>
      </x:c>
      <x:c r="B27" s="162" t="str">
        <x:f>IF(A27="","",IFERROR(SUMPRODUCT(--('Project Plan'!$A$7:$A$206&lt;&gt;""),('Project Plan'!$P$7:$P$206+('Project Plan'!$P$7:$P$206="")),--('Project Plan'!$F$7:$F$206&lt;&gt;""),--('Project Plan'!$G$7:$G$206&lt;&gt;""),((A27&gt;='Project Plan'!$G$7:$G$206)+((A27&gt;='Project Plan'!$F$7:$F$206)*(A27&lt;'Project Plan'!$G$7:$G$206)*(A27-'Project Plan'!$F$7:$F$206+1)/('Project Plan'!$G$7:$G$206-'Project Plan'!$F$7:$F$206+1))))/SUMPRODUCT(--('Project Plan'!$A$7:$A$206&lt;&gt;""),('Project Plan'!$P$7:$P$206+('Project Plan'!$P$7:$P$206=""))),0))</x:f>
      </x:c>
      <x:c r="C27" s="162" t="str">
        <x:f>IF(A27="","",IF(A27&gt;$F$2,"",IF(A27=$F$2,$H$2,IFERROR(LOOKUP(2,1/(($G$7:$G$106&lt;&gt;"")*($G$7:$G$106&lt;=A27)),$H$7:$H$106),""))))</x:f>
      </x:c>
      <x:c r="D27" s="162" t="str">
        <x:f>IF(C27="","",C27-B27)</x:f>
      </x:c>
      <x:c r="E27" s="163" t="str">
        <x:f>IF(D27="","",IF(D27&gt;=0,"On / Ahead",IF(D27&gt;=-0.05,"Watch","Behind")))</x:f>
      </x:c>
      <x:c r="G27" s="167"/>
      <x:c r="H27" s="168"/>
      <x:c r="I27" s="170"/>
      <x:c r="J27"/>
      <x:c r="K27"/>
      <x:c r="L27"/>
      <x:c r="M27" t="str">
        <x:f>IF(A27="","",TEXT(A27,"mmm d"))</x:f>
      </x:c>
      <x:c r="N27" s="14" t="e">
        <x:f>IF(B27="",NA(),B27)</x:f>
        <x:v>#N/A</x:v>
      </x:c>
      <x:c r="O27" s="14" t="e">
        <x:f>IF(OR(P27="",$B$2="",$F$2="",P27&lt;$B$2,P27&gt;$F$2),NA(),IF(Q27=0,IF($F$2=$B$2,$H$2,MAX(0,MIN(1,$H$2*(3*MAX(0,MIN(1,(P27-$B$2)/($F$2-$B$2)))^2-2*MAX(0,MIN(1,(P27-$B$2)/($F$2-$B$2)))^3)))),MAX(0,MIN(1,T27+(V27-T27)*(3*W27^2-2*W27^3)))))</x:f>
        <x:v>#N/A</x:v>
      </x:c>
      <x:c r="P27" s="189" t="str">
        <x:f>A27</x:f>
      </x:c>
      <x:c r="Q27" t="n">
        <x:f>COUNT($G$7:$G$106)</x:f>
        <x:v>0</x:v>
      </x:c>
      <x:c r="R27" t="str">
        <x:f>IF(OR(P27="",$B$2="",$F$2="",P27&lt;$B$2,P27&gt;$F$2),"",IF(Q27=0,0,IF(P27&lt;$G$7,0,IF(P27&gt;=INDEX($G$7:$G$106,Q27),Q27,MATCH(P27,$G$7:$G$106,1)))))</x:f>
      </x:c>
      <x:c r="S27" t="str">
        <x:f>IF(R27="","",IF(R27=0,$B$2,INDEX($G$7:$G$106,R27)))</x:f>
      </x:c>
      <x:c r="T27" s="14" t="str">
        <x:f>IF(R27="","",IF(R27=0,0,INDEX($H$7:$H$106,R27)))</x:f>
      </x:c>
      <x:c r="U27" t="str">
        <x:f>IF(R27="","",IF(Q27=0,$F$2,IF(R27=0,$G$7,IF(R27&lt;Q27,INDEX($G$7:$G$106,R27+1),$F$2))))</x:f>
      </x:c>
      <x:c r="V27" s="14" t="str">
        <x:f>IF(R27="","",IF(Q27=0,$H$2,IF(R27=0,$H$7,IF(R27&lt;Q27,INDEX($H$7:$H$106,R27+1),$H$2))))</x:f>
      </x:c>
      <x:c r="W27" s="188" t="str">
        <x:f>IF(R27="","",IF(U27=S27,1,MAX(0,MIN(1,(P27-S27)/(U27-S27)))))</x:f>
      </x:c>
    </x:row>
    <x:row r="28">
      <x:c r="A28" s="159" t="str">
        <x:f>IF(OR(A27="",A27&gt;=$D$2),"",A27+1)</x:f>
      </x:c>
      <x:c r="B28" s="162" t="str">
        <x:f>IF(A28="","",IFERROR(SUMPRODUCT(--('Project Plan'!$A$7:$A$206&lt;&gt;""),('Project Plan'!$P$7:$P$206+('Project Plan'!$P$7:$P$206="")),--('Project Plan'!$F$7:$F$206&lt;&gt;""),--('Project Plan'!$G$7:$G$206&lt;&gt;""),((A28&gt;='Project Plan'!$G$7:$G$206)+((A28&gt;='Project Plan'!$F$7:$F$206)*(A28&lt;'Project Plan'!$G$7:$G$206)*(A28-'Project Plan'!$F$7:$F$206+1)/('Project Plan'!$G$7:$G$206-'Project Plan'!$F$7:$F$206+1))))/SUMPRODUCT(--('Project Plan'!$A$7:$A$206&lt;&gt;""),('Project Plan'!$P$7:$P$206+('Project Plan'!$P$7:$P$206=""))),0))</x:f>
      </x:c>
      <x:c r="C28" s="162" t="str">
        <x:f>IF(A28="","",IF(A28&gt;$F$2,"",IF(A28=$F$2,$H$2,IFERROR(LOOKUP(2,1/(($G$7:$G$106&lt;&gt;"")*($G$7:$G$106&lt;=A28)),$H$7:$H$106),""))))</x:f>
      </x:c>
      <x:c r="D28" s="162" t="str">
        <x:f>IF(C28="","",C28-B28)</x:f>
      </x:c>
      <x:c r="E28" s="163" t="str">
        <x:f>IF(D28="","",IF(D28&gt;=0,"On / Ahead",IF(D28&gt;=-0.05,"Watch","Behind")))</x:f>
      </x:c>
      <x:c r="G28" s="167"/>
      <x:c r="H28" s="168"/>
      <x:c r="I28" s="170"/>
      <x:c r="J28"/>
      <x:c r="K28"/>
      <x:c r="L28"/>
      <x:c r="M28" t="str">
        <x:f>IF(A28="","",TEXT(A28,"mmm d"))</x:f>
      </x:c>
      <x:c r="N28" s="14" t="e">
        <x:f>IF(B28="",NA(),B28)</x:f>
        <x:v>#N/A</x:v>
      </x:c>
      <x:c r="O28" s="14" t="e">
        <x:f>IF(OR(P28="",$B$2="",$F$2="",P28&lt;$B$2,P28&gt;$F$2),NA(),IF(Q28=0,IF($F$2=$B$2,$H$2,MAX(0,MIN(1,$H$2*(3*MAX(0,MIN(1,(P28-$B$2)/($F$2-$B$2)))^2-2*MAX(0,MIN(1,(P28-$B$2)/($F$2-$B$2)))^3)))),MAX(0,MIN(1,T28+(V28-T28)*(3*W28^2-2*W28^3)))))</x:f>
        <x:v>#N/A</x:v>
      </x:c>
      <x:c r="P28" s="189" t="str">
        <x:f>A28</x:f>
      </x:c>
      <x:c r="Q28" t="n">
        <x:f>COUNT($G$7:$G$106)</x:f>
        <x:v>0</x:v>
      </x:c>
      <x:c r="R28" t="str">
        <x:f>IF(OR(P28="",$B$2="",$F$2="",P28&lt;$B$2,P28&gt;$F$2),"",IF(Q28=0,0,IF(P28&lt;$G$7,0,IF(P28&gt;=INDEX($G$7:$G$106,Q28),Q28,MATCH(P28,$G$7:$G$106,1)))))</x:f>
      </x:c>
      <x:c r="S28" t="str">
        <x:f>IF(R28="","",IF(R28=0,$B$2,INDEX($G$7:$G$106,R28)))</x:f>
      </x:c>
      <x:c r="T28" s="14" t="str">
        <x:f>IF(R28="","",IF(R28=0,0,INDEX($H$7:$H$106,R28)))</x:f>
      </x:c>
      <x:c r="U28" t="str">
        <x:f>IF(R28="","",IF(Q28=0,$F$2,IF(R28=0,$G$7,IF(R28&lt;Q28,INDEX($G$7:$G$106,R28+1),$F$2))))</x:f>
      </x:c>
      <x:c r="V28" s="14" t="str">
        <x:f>IF(R28="","",IF(Q28=0,$H$2,IF(R28=0,$H$7,IF(R28&lt;Q28,INDEX($H$7:$H$106,R28+1),$H$2))))</x:f>
      </x:c>
      <x:c r="W28" s="188" t="str">
        <x:f>IF(R28="","",IF(U28=S28,1,MAX(0,MIN(1,(P28-S28)/(U28-S28)))))</x:f>
      </x:c>
    </x:row>
    <x:row r="29">
      <x:c r="A29" s="159" t="str">
        <x:f>IF(OR(A28="",A28&gt;=$D$2),"",A28+1)</x:f>
      </x:c>
      <x:c r="B29" s="162" t="str">
        <x:f>IF(A29="","",IFERROR(SUMPRODUCT(--('Project Plan'!$A$7:$A$206&lt;&gt;""),('Project Plan'!$P$7:$P$206+('Project Plan'!$P$7:$P$206="")),--('Project Plan'!$F$7:$F$206&lt;&gt;""),--('Project Plan'!$G$7:$G$206&lt;&gt;""),((A29&gt;='Project Plan'!$G$7:$G$206)+((A29&gt;='Project Plan'!$F$7:$F$206)*(A29&lt;'Project Plan'!$G$7:$G$206)*(A29-'Project Plan'!$F$7:$F$206+1)/('Project Plan'!$G$7:$G$206-'Project Plan'!$F$7:$F$206+1))))/SUMPRODUCT(--('Project Plan'!$A$7:$A$206&lt;&gt;""),('Project Plan'!$P$7:$P$206+('Project Plan'!$P$7:$P$206=""))),0))</x:f>
      </x:c>
      <x:c r="C29" s="162" t="str">
        <x:f>IF(A29="","",IF(A29&gt;$F$2,"",IF(A29=$F$2,$H$2,IFERROR(LOOKUP(2,1/(($G$7:$G$106&lt;&gt;"")*($G$7:$G$106&lt;=A29)),$H$7:$H$106),""))))</x:f>
      </x:c>
      <x:c r="D29" s="162" t="str">
        <x:f>IF(C29="","",C29-B29)</x:f>
      </x:c>
      <x:c r="E29" s="163" t="str">
        <x:f>IF(D29="","",IF(D29&gt;=0,"On / Ahead",IF(D29&gt;=-0.05,"Watch","Behind")))</x:f>
      </x:c>
      <x:c r="G29" s="167"/>
      <x:c r="H29" s="168"/>
      <x:c r="I29" s="170"/>
      <x:c r="J29"/>
      <x:c r="K29"/>
      <x:c r="L29"/>
      <x:c r="M29" t="str">
        <x:f>IF(A29="","",TEXT(A29,"mmm d"))</x:f>
      </x:c>
      <x:c r="N29" s="14" t="e">
        <x:f>IF(B29="",NA(),B29)</x:f>
        <x:v>#N/A</x:v>
      </x:c>
      <x:c r="O29" s="14" t="e">
        <x:f>IF(OR(P29="",$B$2="",$F$2="",P29&lt;$B$2,P29&gt;$F$2),NA(),IF(Q29=0,IF($F$2=$B$2,$H$2,MAX(0,MIN(1,$H$2*(3*MAX(0,MIN(1,(P29-$B$2)/($F$2-$B$2)))^2-2*MAX(0,MIN(1,(P29-$B$2)/($F$2-$B$2)))^3)))),MAX(0,MIN(1,T29+(V29-T29)*(3*W29^2-2*W29^3)))))</x:f>
        <x:v>#N/A</x:v>
      </x:c>
      <x:c r="P29" s="189" t="str">
        <x:f>A29</x:f>
      </x:c>
      <x:c r="Q29" t="n">
        <x:f>COUNT($G$7:$G$106)</x:f>
        <x:v>0</x:v>
      </x:c>
      <x:c r="R29" t="str">
        <x:f>IF(OR(P29="",$B$2="",$F$2="",P29&lt;$B$2,P29&gt;$F$2),"",IF(Q29=0,0,IF(P29&lt;$G$7,0,IF(P29&gt;=INDEX($G$7:$G$106,Q29),Q29,MATCH(P29,$G$7:$G$106,1)))))</x:f>
      </x:c>
      <x:c r="S29" t="str">
        <x:f>IF(R29="","",IF(R29=0,$B$2,INDEX($G$7:$G$106,R29)))</x:f>
      </x:c>
      <x:c r="T29" s="14" t="str">
        <x:f>IF(R29="","",IF(R29=0,0,INDEX($H$7:$H$106,R29)))</x:f>
      </x:c>
      <x:c r="U29" t="str">
        <x:f>IF(R29="","",IF(Q29=0,$F$2,IF(R29=0,$G$7,IF(R29&lt;Q29,INDEX($G$7:$G$106,R29+1),$F$2))))</x:f>
      </x:c>
      <x:c r="V29" s="14" t="str">
        <x:f>IF(R29="","",IF(Q29=0,$H$2,IF(R29=0,$H$7,IF(R29&lt;Q29,INDEX($H$7:$H$106,R29+1),$H$2))))</x:f>
      </x:c>
      <x:c r="W29" s="188" t="str">
        <x:f>IF(R29="","",IF(U29=S29,1,MAX(0,MIN(1,(P29-S29)/(U29-S29)))))</x:f>
      </x:c>
    </x:row>
    <x:row r="30">
      <x:c r="A30" s="159" t="str">
        <x:f>IF(OR(A29="",A29&gt;=$D$2),"",A29+1)</x:f>
      </x:c>
      <x:c r="B30" s="162" t="str">
        <x:f>IF(A30="","",IFERROR(SUMPRODUCT(--('Project Plan'!$A$7:$A$206&lt;&gt;""),('Project Plan'!$P$7:$P$206+('Project Plan'!$P$7:$P$206="")),--('Project Plan'!$F$7:$F$206&lt;&gt;""),--('Project Plan'!$G$7:$G$206&lt;&gt;""),((A30&gt;='Project Plan'!$G$7:$G$206)+((A30&gt;='Project Plan'!$F$7:$F$206)*(A30&lt;'Project Plan'!$G$7:$G$206)*(A30-'Project Plan'!$F$7:$F$206+1)/('Project Plan'!$G$7:$G$206-'Project Plan'!$F$7:$F$206+1))))/SUMPRODUCT(--('Project Plan'!$A$7:$A$206&lt;&gt;""),('Project Plan'!$P$7:$P$206+('Project Plan'!$P$7:$P$206=""))),0))</x:f>
      </x:c>
      <x:c r="C30" s="162" t="str">
        <x:f>IF(A30="","",IF(A30&gt;$F$2,"",IF(A30=$F$2,$H$2,IFERROR(LOOKUP(2,1/(($G$7:$G$106&lt;&gt;"")*($G$7:$G$106&lt;=A30)),$H$7:$H$106),""))))</x:f>
      </x:c>
      <x:c r="D30" s="162" t="str">
        <x:f>IF(C30="","",C30-B30)</x:f>
      </x:c>
      <x:c r="E30" s="163" t="str">
        <x:f>IF(D30="","",IF(D30&gt;=0,"On / Ahead",IF(D30&gt;=-0.05,"Watch","Behind")))</x:f>
      </x:c>
      <x:c r="G30" s="167"/>
      <x:c r="H30" s="168"/>
      <x:c r="I30" s="170"/>
      <x:c r="J30"/>
      <x:c r="K30"/>
      <x:c r="L30"/>
      <x:c r="M30" t="str">
        <x:f>IF(A30="","",TEXT(A30,"mmm d"))</x:f>
      </x:c>
      <x:c r="N30" s="14" t="e">
        <x:f>IF(B30="",NA(),B30)</x:f>
        <x:v>#N/A</x:v>
      </x:c>
      <x:c r="O30" s="14" t="e">
        <x:f>IF(OR(P30="",$B$2="",$F$2="",P30&lt;$B$2,P30&gt;$F$2),NA(),IF(Q30=0,IF($F$2=$B$2,$H$2,MAX(0,MIN(1,$H$2*(3*MAX(0,MIN(1,(P30-$B$2)/($F$2-$B$2)))^2-2*MAX(0,MIN(1,(P30-$B$2)/($F$2-$B$2)))^3)))),MAX(0,MIN(1,T30+(V30-T30)*(3*W30^2-2*W30^3)))))</x:f>
        <x:v>#N/A</x:v>
      </x:c>
      <x:c r="P30" s="189" t="str">
        <x:f>A30</x:f>
      </x:c>
      <x:c r="Q30" t="n">
        <x:f>COUNT($G$7:$G$106)</x:f>
        <x:v>0</x:v>
      </x:c>
      <x:c r="R30" t="str">
        <x:f>IF(OR(P30="",$B$2="",$F$2="",P30&lt;$B$2,P30&gt;$F$2),"",IF(Q30=0,0,IF(P30&lt;$G$7,0,IF(P30&gt;=INDEX($G$7:$G$106,Q30),Q30,MATCH(P30,$G$7:$G$106,1)))))</x:f>
      </x:c>
      <x:c r="S30" t="str">
        <x:f>IF(R30="","",IF(R30=0,$B$2,INDEX($G$7:$G$106,R30)))</x:f>
      </x:c>
      <x:c r="T30" s="14" t="str">
        <x:f>IF(R30="","",IF(R30=0,0,INDEX($H$7:$H$106,R30)))</x:f>
      </x:c>
      <x:c r="U30" t="str">
        <x:f>IF(R30="","",IF(Q30=0,$F$2,IF(R30=0,$G$7,IF(R30&lt;Q30,INDEX($G$7:$G$106,R30+1),$F$2))))</x:f>
      </x:c>
      <x:c r="V30" s="14" t="str">
        <x:f>IF(R30="","",IF(Q30=0,$H$2,IF(R30=0,$H$7,IF(R30&lt;Q30,INDEX($H$7:$H$106,R30+1),$H$2))))</x:f>
      </x:c>
      <x:c r="W30" s="188" t="str">
        <x:f>IF(R30="","",IF(U30=S30,1,MAX(0,MIN(1,(P30-S30)/(U30-S30)))))</x:f>
      </x:c>
    </x:row>
    <x:row r="31">
      <x:c r="A31" s="159" t="str">
        <x:f>IF(OR(A30="",A30&gt;=$D$2),"",A30+1)</x:f>
      </x:c>
      <x:c r="B31" s="162" t="str">
        <x:f>IF(A31="","",IFERROR(SUMPRODUCT(--('Project Plan'!$A$7:$A$206&lt;&gt;""),('Project Plan'!$P$7:$P$206+('Project Plan'!$P$7:$P$206="")),--('Project Plan'!$F$7:$F$206&lt;&gt;""),--('Project Plan'!$G$7:$G$206&lt;&gt;""),((A31&gt;='Project Plan'!$G$7:$G$206)+((A31&gt;='Project Plan'!$F$7:$F$206)*(A31&lt;'Project Plan'!$G$7:$G$206)*(A31-'Project Plan'!$F$7:$F$206+1)/('Project Plan'!$G$7:$G$206-'Project Plan'!$F$7:$F$206+1))))/SUMPRODUCT(--('Project Plan'!$A$7:$A$206&lt;&gt;""),('Project Plan'!$P$7:$P$206+('Project Plan'!$P$7:$P$206=""))),0))</x:f>
      </x:c>
      <x:c r="C31" s="162" t="str">
        <x:f>IF(A31="","",IF(A31&gt;$F$2,"",IF(A31=$F$2,$H$2,IFERROR(LOOKUP(2,1/(($G$7:$G$106&lt;&gt;"")*($G$7:$G$106&lt;=A31)),$H$7:$H$106),""))))</x:f>
      </x:c>
      <x:c r="D31" s="162" t="str">
        <x:f>IF(C31="","",C31-B31)</x:f>
      </x:c>
      <x:c r="E31" s="163" t="str">
        <x:f>IF(D31="","",IF(D31&gt;=0,"On / Ahead",IF(D31&gt;=-0.05,"Watch","Behind")))</x:f>
      </x:c>
      <x:c r="G31" s="167"/>
      <x:c r="H31" s="168"/>
      <x:c r="I31" s="170"/>
      <x:c r="J31"/>
      <x:c r="K31"/>
      <x:c r="L31"/>
      <x:c r="M31" t="str">
        <x:f>IF(A31="","",TEXT(A31,"mmm d"))</x:f>
      </x:c>
      <x:c r="N31" s="14" t="e">
        <x:f>IF(B31="",NA(),B31)</x:f>
        <x:v>#N/A</x:v>
      </x:c>
      <x:c r="O31" s="14" t="e">
        <x:f>IF(OR(P31="",$B$2="",$F$2="",P31&lt;$B$2,P31&gt;$F$2),NA(),IF(Q31=0,IF($F$2=$B$2,$H$2,MAX(0,MIN(1,$H$2*(3*MAX(0,MIN(1,(P31-$B$2)/($F$2-$B$2)))^2-2*MAX(0,MIN(1,(P31-$B$2)/($F$2-$B$2)))^3)))),MAX(0,MIN(1,T31+(V31-T31)*(3*W31^2-2*W31^3)))))</x:f>
        <x:v>#N/A</x:v>
      </x:c>
      <x:c r="P31" s="189" t="str">
        <x:f>A31</x:f>
      </x:c>
      <x:c r="Q31" t="n">
        <x:f>COUNT($G$7:$G$106)</x:f>
        <x:v>0</x:v>
      </x:c>
      <x:c r="R31" t="str">
        <x:f>IF(OR(P31="",$B$2="",$F$2="",P31&lt;$B$2,P31&gt;$F$2),"",IF(Q31=0,0,IF(P31&lt;$G$7,0,IF(P31&gt;=INDEX($G$7:$G$106,Q31),Q31,MATCH(P31,$G$7:$G$106,1)))))</x:f>
      </x:c>
      <x:c r="S31" t="str">
        <x:f>IF(R31="","",IF(R31=0,$B$2,INDEX($G$7:$G$106,R31)))</x:f>
      </x:c>
      <x:c r="T31" s="14" t="str">
        <x:f>IF(R31="","",IF(R31=0,0,INDEX($H$7:$H$106,R31)))</x:f>
      </x:c>
      <x:c r="U31" t="str">
        <x:f>IF(R31="","",IF(Q31=0,$F$2,IF(R31=0,$G$7,IF(R31&lt;Q31,INDEX($G$7:$G$106,R31+1),$F$2))))</x:f>
      </x:c>
      <x:c r="V31" s="14" t="str">
        <x:f>IF(R31="","",IF(Q31=0,$H$2,IF(R31=0,$H$7,IF(R31&lt;Q31,INDEX($H$7:$H$106,R31+1),$H$2))))</x:f>
      </x:c>
      <x:c r="W31" s="188" t="str">
        <x:f>IF(R31="","",IF(U31=S31,1,MAX(0,MIN(1,(P31-S31)/(U31-S31)))))</x:f>
      </x:c>
    </x:row>
    <x:row r="32">
      <x:c r="A32" s="159" t="str">
        <x:f>IF(OR(A31="",A31&gt;=$D$2),"",A31+1)</x:f>
      </x:c>
      <x:c r="B32" s="162" t="str">
        <x:f>IF(A32="","",IFERROR(SUMPRODUCT(--('Project Plan'!$A$7:$A$206&lt;&gt;""),('Project Plan'!$P$7:$P$206+('Project Plan'!$P$7:$P$206="")),--('Project Plan'!$F$7:$F$206&lt;&gt;""),--('Project Plan'!$G$7:$G$206&lt;&gt;""),((A32&gt;='Project Plan'!$G$7:$G$206)+((A32&gt;='Project Plan'!$F$7:$F$206)*(A32&lt;'Project Plan'!$G$7:$G$206)*(A32-'Project Plan'!$F$7:$F$206+1)/('Project Plan'!$G$7:$G$206-'Project Plan'!$F$7:$F$206+1))))/SUMPRODUCT(--('Project Plan'!$A$7:$A$206&lt;&gt;""),('Project Plan'!$P$7:$P$206+('Project Plan'!$P$7:$P$206=""))),0))</x:f>
      </x:c>
      <x:c r="C32" s="162" t="str">
        <x:f>IF(A32="","",IF(A32&gt;$F$2,"",IF(A32=$F$2,$H$2,IFERROR(LOOKUP(2,1/(($G$7:$G$106&lt;&gt;"")*($G$7:$G$106&lt;=A32)),$H$7:$H$106),""))))</x:f>
      </x:c>
      <x:c r="D32" s="162" t="str">
        <x:f>IF(C32="","",C32-B32)</x:f>
      </x:c>
      <x:c r="E32" s="163" t="str">
        <x:f>IF(D32="","",IF(D32&gt;=0,"On / Ahead",IF(D32&gt;=-0.05,"Watch","Behind")))</x:f>
      </x:c>
      <x:c r="G32" s="167"/>
      <x:c r="H32" s="168"/>
      <x:c r="I32" s="170"/>
      <x:c r="J32"/>
      <x:c r="K32"/>
      <x:c r="L32"/>
      <x:c r="M32" t="str">
        <x:f>IF(A32="","",TEXT(A32,"mmm d"))</x:f>
      </x:c>
      <x:c r="N32" s="14" t="e">
        <x:f>IF(B32="",NA(),B32)</x:f>
        <x:v>#N/A</x:v>
      </x:c>
      <x:c r="O32" s="14" t="e">
        <x:f>IF(OR(P32="",$B$2="",$F$2="",P32&lt;$B$2,P32&gt;$F$2),NA(),IF(Q32=0,IF($F$2=$B$2,$H$2,MAX(0,MIN(1,$H$2*(3*MAX(0,MIN(1,(P32-$B$2)/($F$2-$B$2)))^2-2*MAX(0,MIN(1,(P32-$B$2)/($F$2-$B$2)))^3)))),MAX(0,MIN(1,T32+(V32-T32)*(3*W32^2-2*W32^3)))))</x:f>
        <x:v>#N/A</x:v>
      </x:c>
      <x:c r="P32" s="189" t="str">
        <x:f>A32</x:f>
      </x:c>
      <x:c r="Q32" t="n">
        <x:f>COUNT($G$7:$G$106)</x:f>
        <x:v>0</x:v>
      </x:c>
      <x:c r="R32" t="str">
        <x:f>IF(OR(P32="",$B$2="",$F$2="",P32&lt;$B$2,P32&gt;$F$2),"",IF(Q32=0,0,IF(P32&lt;$G$7,0,IF(P32&gt;=INDEX($G$7:$G$106,Q32),Q32,MATCH(P32,$G$7:$G$106,1)))))</x:f>
      </x:c>
      <x:c r="S32" t="str">
        <x:f>IF(R32="","",IF(R32=0,$B$2,INDEX($G$7:$G$106,R32)))</x:f>
      </x:c>
      <x:c r="T32" s="14" t="str">
        <x:f>IF(R32="","",IF(R32=0,0,INDEX($H$7:$H$106,R32)))</x:f>
      </x:c>
      <x:c r="U32" t="str">
        <x:f>IF(R32="","",IF(Q32=0,$F$2,IF(R32=0,$G$7,IF(R32&lt;Q32,INDEX($G$7:$G$106,R32+1),$F$2))))</x:f>
      </x:c>
      <x:c r="V32" s="14" t="str">
        <x:f>IF(R32="","",IF(Q32=0,$H$2,IF(R32=0,$H$7,IF(R32&lt;Q32,INDEX($H$7:$H$106,R32+1),$H$2))))</x:f>
      </x:c>
      <x:c r="W32" s="188" t="str">
        <x:f>IF(R32="","",IF(U32=S32,1,MAX(0,MIN(1,(P32-S32)/(U32-S32)))))</x:f>
      </x:c>
    </x:row>
    <x:row r="33">
      <x:c r="A33" s="159" t="str">
        <x:f>IF(OR(A32="",A32&gt;=$D$2),"",A32+1)</x:f>
      </x:c>
      <x:c r="B33" s="162" t="str">
        <x:f>IF(A33="","",IFERROR(SUMPRODUCT(--('Project Plan'!$A$7:$A$206&lt;&gt;""),('Project Plan'!$P$7:$P$206+('Project Plan'!$P$7:$P$206="")),--('Project Plan'!$F$7:$F$206&lt;&gt;""),--('Project Plan'!$G$7:$G$206&lt;&gt;""),((A33&gt;='Project Plan'!$G$7:$G$206)+((A33&gt;='Project Plan'!$F$7:$F$206)*(A33&lt;'Project Plan'!$G$7:$G$206)*(A33-'Project Plan'!$F$7:$F$206+1)/('Project Plan'!$G$7:$G$206-'Project Plan'!$F$7:$F$206+1))))/SUMPRODUCT(--('Project Plan'!$A$7:$A$206&lt;&gt;""),('Project Plan'!$P$7:$P$206+('Project Plan'!$P$7:$P$206=""))),0))</x:f>
      </x:c>
      <x:c r="C33" s="162" t="str">
        <x:f>IF(A33="","",IF(A33&gt;$F$2,"",IF(A33=$F$2,$H$2,IFERROR(LOOKUP(2,1/(($G$7:$G$106&lt;&gt;"")*($G$7:$G$106&lt;=A33)),$H$7:$H$106),""))))</x:f>
      </x:c>
      <x:c r="D33" s="162" t="str">
        <x:f>IF(C33="","",C33-B33)</x:f>
      </x:c>
      <x:c r="E33" s="163" t="str">
        <x:f>IF(D33="","",IF(D33&gt;=0,"On / Ahead",IF(D33&gt;=-0.05,"Watch","Behind")))</x:f>
      </x:c>
      <x:c r="G33" s="167"/>
      <x:c r="H33" s="168"/>
      <x:c r="I33" s="170"/>
      <x:c r="J33"/>
      <x:c r="K33"/>
      <x:c r="L33"/>
      <x:c r="M33" t="str">
        <x:f>IF(A33="","",TEXT(A33,"mmm d"))</x:f>
      </x:c>
      <x:c r="N33" s="14" t="e">
        <x:f>IF(B33="",NA(),B33)</x:f>
        <x:v>#N/A</x:v>
      </x:c>
      <x:c r="O33" s="14" t="e">
        <x:f>IF(OR(P33="",$B$2="",$F$2="",P33&lt;$B$2,P33&gt;$F$2),NA(),IF(Q33=0,IF($F$2=$B$2,$H$2,MAX(0,MIN(1,$H$2*(3*MAX(0,MIN(1,(P33-$B$2)/($F$2-$B$2)))^2-2*MAX(0,MIN(1,(P33-$B$2)/($F$2-$B$2)))^3)))),MAX(0,MIN(1,T33+(V33-T33)*(3*W33^2-2*W33^3)))))</x:f>
        <x:v>#N/A</x:v>
      </x:c>
      <x:c r="P33" s="189" t="str">
        <x:f>A33</x:f>
      </x:c>
      <x:c r="Q33" t="n">
        <x:f>COUNT($G$7:$G$106)</x:f>
        <x:v>0</x:v>
      </x:c>
      <x:c r="R33" t="str">
        <x:f>IF(OR(P33="",$B$2="",$F$2="",P33&lt;$B$2,P33&gt;$F$2),"",IF(Q33=0,0,IF(P33&lt;$G$7,0,IF(P33&gt;=INDEX($G$7:$G$106,Q33),Q33,MATCH(P33,$G$7:$G$106,1)))))</x:f>
      </x:c>
      <x:c r="S33" t="str">
        <x:f>IF(R33="","",IF(R33=0,$B$2,INDEX($G$7:$G$106,R33)))</x:f>
      </x:c>
      <x:c r="T33" s="14" t="str">
        <x:f>IF(R33="","",IF(R33=0,0,INDEX($H$7:$H$106,R33)))</x:f>
      </x:c>
      <x:c r="U33" t="str">
        <x:f>IF(R33="","",IF(Q33=0,$F$2,IF(R33=0,$G$7,IF(R33&lt;Q33,INDEX($G$7:$G$106,R33+1),$F$2))))</x:f>
      </x:c>
      <x:c r="V33" s="14" t="str">
        <x:f>IF(R33="","",IF(Q33=0,$H$2,IF(R33=0,$H$7,IF(R33&lt;Q33,INDEX($H$7:$H$106,R33+1),$H$2))))</x:f>
      </x:c>
      <x:c r="W33" s="188" t="str">
        <x:f>IF(R33="","",IF(U33=S33,1,MAX(0,MIN(1,(P33-S33)/(U33-S33)))))</x:f>
      </x:c>
    </x:row>
    <x:row r="34">
      <x:c r="A34" s="159" t="str">
        <x:f>IF(OR(A33="",A33&gt;=$D$2),"",A33+1)</x:f>
      </x:c>
      <x:c r="B34" s="162" t="str">
        <x:f>IF(A34="","",IFERROR(SUMPRODUCT(--('Project Plan'!$A$7:$A$206&lt;&gt;""),('Project Plan'!$P$7:$P$206+('Project Plan'!$P$7:$P$206="")),--('Project Plan'!$F$7:$F$206&lt;&gt;""),--('Project Plan'!$G$7:$G$206&lt;&gt;""),((A34&gt;='Project Plan'!$G$7:$G$206)+((A34&gt;='Project Plan'!$F$7:$F$206)*(A34&lt;'Project Plan'!$G$7:$G$206)*(A34-'Project Plan'!$F$7:$F$206+1)/('Project Plan'!$G$7:$G$206-'Project Plan'!$F$7:$F$206+1))))/SUMPRODUCT(--('Project Plan'!$A$7:$A$206&lt;&gt;""),('Project Plan'!$P$7:$P$206+('Project Plan'!$P$7:$P$206=""))),0))</x:f>
      </x:c>
      <x:c r="C34" s="162" t="str">
        <x:f>IF(A34="","",IF(A34&gt;$F$2,"",IF(A34=$F$2,$H$2,IFERROR(LOOKUP(2,1/(($G$7:$G$106&lt;&gt;"")*($G$7:$G$106&lt;=A34)),$H$7:$H$106),""))))</x:f>
      </x:c>
      <x:c r="D34" s="162" t="str">
        <x:f>IF(C34="","",C34-B34)</x:f>
      </x:c>
      <x:c r="E34" s="163" t="str">
        <x:f>IF(D34="","",IF(D34&gt;=0,"On / Ahead",IF(D34&gt;=-0.05,"Watch","Behind")))</x:f>
      </x:c>
      <x:c r="G34" s="167"/>
      <x:c r="H34" s="168"/>
      <x:c r="I34" s="170"/>
      <x:c r="J34"/>
      <x:c r="K34"/>
      <x:c r="L34"/>
      <x:c r="M34" t="str">
        <x:f>IF(A34="","",TEXT(A34,"mmm d"))</x:f>
      </x:c>
      <x:c r="N34" s="14" t="e">
        <x:f>IF(B34="",NA(),B34)</x:f>
        <x:v>#N/A</x:v>
      </x:c>
      <x:c r="O34" s="14" t="e">
        <x:f>IF(OR(P34="",$B$2="",$F$2="",P34&lt;$B$2,P34&gt;$F$2),NA(),IF(Q34=0,IF($F$2=$B$2,$H$2,MAX(0,MIN(1,$H$2*(3*MAX(0,MIN(1,(P34-$B$2)/($F$2-$B$2)))^2-2*MAX(0,MIN(1,(P34-$B$2)/($F$2-$B$2)))^3)))),MAX(0,MIN(1,T34+(V34-T34)*(3*W34^2-2*W34^3)))))</x:f>
        <x:v>#N/A</x:v>
      </x:c>
      <x:c r="P34" s="189" t="str">
        <x:f>A34</x:f>
      </x:c>
      <x:c r="Q34" t="n">
        <x:f>COUNT($G$7:$G$106)</x:f>
        <x:v>0</x:v>
      </x:c>
      <x:c r="R34" t="str">
        <x:f>IF(OR(P34="",$B$2="",$F$2="",P34&lt;$B$2,P34&gt;$F$2),"",IF(Q34=0,0,IF(P34&lt;$G$7,0,IF(P34&gt;=INDEX($G$7:$G$106,Q34),Q34,MATCH(P34,$G$7:$G$106,1)))))</x:f>
      </x:c>
      <x:c r="S34" t="str">
        <x:f>IF(R34="","",IF(R34=0,$B$2,INDEX($G$7:$G$106,R34)))</x:f>
      </x:c>
      <x:c r="T34" s="14" t="str">
        <x:f>IF(R34="","",IF(R34=0,0,INDEX($H$7:$H$106,R34)))</x:f>
      </x:c>
      <x:c r="U34" t="str">
        <x:f>IF(R34="","",IF(Q34=0,$F$2,IF(R34=0,$G$7,IF(R34&lt;Q34,INDEX($G$7:$G$106,R34+1),$F$2))))</x:f>
      </x:c>
      <x:c r="V34" s="14" t="str">
        <x:f>IF(R34="","",IF(Q34=0,$H$2,IF(R34=0,$H$7,IF(R34&lt;Q34,INDEX($H$7:$H$106,R34+1),$H$2))))</x:f>
      </x:c>
      <x:c r="W34" s="188" t="str">
        <x:f>IF(R34="","",IF(U34=S34,1,MAX(0,MIN(1,(P34-S34)/(U34-S34)))))</x:f>
      </x:c>
    </x:row>
    <x:row r="35">
      <x:c r="A35" s="159" t="str">
        <x:f>IF(OR(A34="",A34&gt;=$D$2),"",A34+1)</x:f>
      </x:c>
      <x:c r="B35" s="162" t="str">
        <x:f>IF(A35="","",IFERROR(SUMPRODUCT(--('Project Plan'!$A$7:$A$206&lt;&gt;""),('Project Plan'!$P$7:$P$206+('Project Plan'!$P$7:$P$206="")),--('Project Plan'!$F$7:$F$206&lt;&gt;""),--('Project Plan'!$G$7:$G$206&lt;&gt;""),((A35&gt;='Project Plan'!$G$7:$G$206)+((A35&gt;='Project Plan'!$F$7:$F$206)*(A35&lt;'Project Plan'!$G$7:$G$206)*(A35-'Project Plan'!$F$7:$F$206+1)/('Project Plan'!$G$7:$G$206-'Project Plan'!$F$7:$F$206+1))))/SUMPRODUCT(--('Project Plan'!$A$7:$A$206&lt;&gt;""),('Project Plan'!$P$7:$P$206+('Project Plan'!$P$7:$P$206=""))),0))</x:f>
      </x:c>
      <x:c r="C35" s="162" t="str">
        <x:f>IF(A35="","",IF(A35&gt;$F$2,"",IF(A35=$F$2,$H$2,IFERROR(LOOKUP(2,1/(($G$7:$G$106&lt;&gt;"")*($G$7:$G$106&lt;=A35)),$H$7:$H$106),""))))</x:f>
      </x:c>
      <x:c r="D35" s="162" t="str">
        <x:f>IF(C35="","",C35-B35)</x:f>
      </x:c>
      <x:c r="E35" s="163" t="str">
        <x:f>IF(D35="","",IF(D35&gt;=0,"On / Ahead",IF(D35&gt;=-0.05,"Watch","Behind")))</x:f>
      </x:c>
      <x:c r="G35" s="167"/>
      <x:c r="H35" s="168"/>
      <x:c r="I35" s="170"/>
      <x:c r="J35"/>
      <x:c r="K35"/>
      <x:c r="L35"/>
      <x:c r="M35" t="str">
        <x:f>IF(A35="","",TEXT(A35,"mmm d"))</x:f>
      </x:c>
      <x:c r="N35" s="14" t="e">
        <x:f>IF(B35="",NA(),B35)</x:f>
        <x:v>#N/A</x:v>
      </x:c>
      <x:c r="O35" s="14" t="e">
        <x:f>IF(OR(P35="",$B$2="",$F$2="",P35&lt;$B$2,P35&gt;$F$2),NA(),IF(Q35=0,IF($F$2=$B$2,$H$2,MAX(0,MIN(1,$H$2*(3*MAX(0,MIN(1,(P35-$B$2)/($F$2-$B$2)))^2-2*MAX(0,MIN(1,(P35-$B$2)/($F$2-$B$2)))^3)))),MAX(0,MIN(1,T35+(V35-T35)*(3*W35^2-2*W35^3)))))</x:f>
        <x:v>#N/A</x:v>
      </x:c>
      <x:c r="P35" s="189" t="str">
        <x:f>A35</x:f>
      </x:c>
      <x:c r="Q35" t="n">
        <x:f>COUNT($G$7:$G$106)</x:f>
        <x:v>0</x:v>
      </x:c>
      <x:c r="R35" t="str">
        <x:f>IF(OR(P35="",$B$2="",$F$2="",P35&lt;$B$2,P35&gt;$F$2),"",IF(Q35=0,0,IF(P35&lt;$G$7,0,IF(P35&gt;=INDEX($G$7:$G$106,Q35),Q35,MATCH(P35,$G$7:$G$106,1)))))</x:f>
      </x:c>
      <x:c r="S35" t="str">
        <x:f>IF(R35="","",IF(R35=0,$B$2,INDEX($G$7:$G$106,R35)))</x:f>
      </x:c>
      <x:c r="T35" s="14" t="str">
        <x:f>IF(R35="","",IF(R35=0,0,INDEX($H$7:$H$106,R35)))</x:f>
      </x:c>
      <x:c r="U35" t="str">
        <x:f>IF(R35="","",IF(Q35=0,$F$2,IF(R35=0,$G$7,IF(R35&lt;Q35,INDEX($G$7:$G$106,R35+1),$F$2))))</x:f>
      </x:c>
      <x:c r="V35" s="14" t="str">
        <x:f>IF(R35="","",IF(Q35=0,$H$2,IF(R35=0,$H$7,IF(R35&lt;Q35,INDEX($H$7:$H$106,R35+1),$H$2))))</x:f>
      </x:c>
      <x:c r="W35" s="188" t="str">
        <x:f>IF(R35="","",IF(U35=S35,1,MAX(0,MIN(1,(P35-S35)/(U35-S35)))))</x:f>
      </x:c>
    </x:row>
    <x:row r="36">
      <x:c r="A36" s="159" t="str">
        <x:f>IF(OR(A35="",A35&gt;=$D$2),"",A35+1)</x:f>
      </x:c>
      <x:c r="B36" s="162" t="str">
        <x:f>IF(A36="","",IFERROR(SUMPRODUCT(--('Project Plan'!$A$7:$A$206&lt;&gt;""),('Project Plan'!$P$7:$P$206+('Project Plan'!$P$7:$P$206="")),--('Project Plan'!$F$7:$F$206&lt;&gt;""),--('Project Plan'!$G$7:$G$206&lt;&gt;""),((A36&gt;='Project Plan'!$G$7:$G$206)+((A36&gt;='Project Plan'!$F$7:$F$206)*(A36&lt;'Project Plan'!$G$7:$G$206)*(A36-'Project Plan'!$F$7:$F$206+1)/('Project Plan'!$G$7:$G$206-'Project Plan'!$F$7:$F$206+1))))/SUMPRODUCT(--('Project Plan'!$A$7:$A$206&lt;&gt;""),('Project Plan'!$P$7:$P$206+('Project Plan'!$P$7:$P$206=""))),0))</x:f>
      </x:c>
      <x:c r="C36" s="162" t="str">
        <x:f>IF(A36="","",IF(A36&gt;$F$2,"",IF(A36=$F$2,$H$2,IFERROR(LOOKUP(2,1/(($G$7:$G$106&lt;&gt;"")*($G$7:$G$106&lt;=A36)),$H$7:$H$106),""))))</x:f>
      </x:c>
      <x:c r="D36" s="162" t="str">
        <x:f>IF(C36="","",C36-B36)</x:f>
      </x:c>
      <x:c r="E36" s="163" t="str">
        <x:f>IF(D36="","",IF(D36&gt;=0,"On / Ahead",IF(D36&gt;=-0.05,"Watch","Behind")))</x:f>
      </x:c>
      <x:c r="G36" s="167"/>
      <x:c r="H36" s="168"/>
      <x:c r="I36" s="170"/>
      <x:c r="J36"/>
      <x:c r="K36"/>
      <x:c r="L36"/>
      <x:c r="M36" t="str">
        <x:f>IF(A36="","",TEXT(A36,"mmm d"))</x:f>
      </x:c>
      <x:c r="N36" s="14" t="e">
        <x:f>IF(B36="",NA(),B36)</x:f>
        <x:v>#N/A</x:v>
      </x:c>
      <x:c r="O36" s="14" t="e">
        <x:f>IF(OR(P36="",$B$2="",$F$2="",P36&lt;$B$2,P36&gt;$F$2),NA(),IF(Q36=0,IF($F$2=$B$2,$H$2,MAX(0,MIN(1,$H$2*(3*MAX(0,MIN(1,(P36-$B$2)/($F$2-$B$2)))^2-2*MAX(0,MIN(1,(P36-$B$2)/($F$2-$B$2)))^3)))),MAX(0,MIN(1,T36+(V36-T36)*(3*W36^2-2*W36^3)))))</x:f>
        <x:v>#N/A</x:v>
      </x:c>
      <x:c r="P36" s="189" t="str">
        <x:f>A36</x:f>
      </x:c>
      <x:c r="Q36" t="n">
        <x:f>COUNT($G$7:$G$106)</x:f>
        <x:v>0</x:v>
      </x:c>
      <x:c r="R36" t="str">
        <x:f>IF(OR(P36="",$B$2="",$F$2="",P36&lt;$B$2,P36&gt;$F$2),"",IF(Q36=0,0,IF(P36&lt;$G$7,0,IF(P36&gt;=INDEX($G$7:$G$106,Q36),Q36,MATCH(P36,$G$7:$G$106,1)))))</x:f>
      </x:c>
      <x:c r="S36" t="str">
        <x:f>IF(R36="","",IF(R36=0,$B$2,INDEX($G$7:$G$106,R36)))</x:f>
      </x:c>
      <x:c r="T36" s="14" t="str">
        <x:f>IF(R36="","",IF(R36=0,0,INDEX($H$7:$H$106,R36)))</x:f>
      </x:c>
      <x:c r="U36" t="str">
        <x:f>IF(R36="","",IF(Q36=0,$F$2,IF(R36=0,$G$7,IF(R36&lt;Q36,INDEX($G$7:$G$106,R36+1),$F$2))))</x:f>
      </x:c>
      <x:c r="V36" s="14" t="str">
        <x:f>IF(R36="","",IF(Q36=0,$H$2,IF(R36=0,$H$7,IF(R36&lt;Q36,INDEX($H$7:$H$106,R36+1),$H$2))))</x:f>
      </x:c>
      <x:c r="W36" s="188" t="str">
        <x:f>IF(R36="","",IF(U36=S36,1,MAX(0,MIN(1,(P36-S36)/(U36-S36)))))</x:f>
      </x:c>
    </x:row>
    <x:row r="37">
      <x:c r="A37" s="159" t="str">
        <x:f>IF(OR(A36="",A36&gt;=$D$2),"",A36+1)</x:f>
      </x:c>
      <x:c r="B37" s="162" t="str">
        <x:f>IF(A37="","",IFERROR(SUMPRODUCT(--('Project Plan'!$A$7:$A$206&lt;&gt;""),('Project Plan'!$P$7:$P$206+('Project Plan'!$P$7:$P$206="")),--('Project Plan'!$F$7:$F$206&lt;&gt;""),--('Project Plan'!$G$7:$G$206&lt;&gt;""),((A37&gt;='Project Plan'!$G$7:$G$206)+((A37&gt;='Project Plan'!$F$7:$F$206)*(A37&lt;'Project Plan'!$G$7:$G$206)*(A37-'Project Plan'!$F$7:$F$206+1)/('Project Plan'!$G$7:$G$206-'Project Plan'!$F$7:$F$206+1))))/SUMPRODUCT(--('Project Plan'!$A$7:$A$206&lt;&gt;""),('Project Plan'!$P$7:$P$206+('Project Plan'!$P$7:$P$206=""))),0))</x:f>
      </x:c>
      <x:c r="C37" s="162" t="str">
        <x:f>IF(A37="","",IF(A37&gt;$F$2,"",IF(A37=$F$2,$H$2,IFERROR(LOOKUP(2,1/(($G$7:$G$106&lt;&gt;"")*($G$7:$G$106&lt;=A37)),$H$7:$H$106),""))))</x:f>
      </x:c>
      <x:c r="D37" s="162" t="str">
        <x:f>IF(C37="","",C37-B37)</x:f>
      </x:c>
      <x:c r="E37" s="163" t="str">
        <x:f>IF(D37="","",IF(D37&gt;=0,"On / Ahead",IF(D37&gt;=-0.05,"Watch","Behind")))</x:f>
      </x:c>
      <x:c r="G37" s="167"/>
      <x:c r="H37" s="168"/>
      <x:c r="I37" s="170"/>
      <x:c r="J37"/>
      <x:c r="K37"/>
      <x:c r="L37"/>
      <x:c r="M37" t="str">
        <x:f>IF(A37="","",TEXT(A37,"mmm d"))</x:f>
      </x:c>
      <x:c r="N37" s="14" t="e">
        <x:f>IF(B37="",NA(),B37)</x:f>
        <x:v>#N/A</x:v>
      </x:c>
      <x:c r="O37" s="14" t="e">
        <x:f>IF(OR(P37="",$B$2="",$F$2="",P37&lt;$B$2,P37&gt;$F$2),NA(),IF(Q37=0,IF($F$2=$B$2,$H$2,MAX(0,MIN(1,$H$2*(3*MAX(0,MIN(1,(P37-$B$2)/($F$2-$B$2)))^2-2*MAX(0,MIN(1,(P37-$B$2)/($F$2-$B$2)))^3)))),MAX(0,MIN(1,T37+(V37-T37)*(3*W37^2-2*W37^3)))))</x:f>
        <x:v>#N/A</x:v>
      </x:c>
      <x:c r="P37" s="189" t="str">
        <x:f>A37</x:f>
      </x:c>
      <x:c r="Q37" t="n">
        <x:f>COUNT($G$7:$G$106)</x:f>
        <x:v>0</x:v>
      </x:c>
      <x:c r="R37" t="str">
        <x:f>IF(OR(P37="",$B$2="",$F$2="",P37&lt;$B$2,P37&gt;$F$2),"",IF(Q37=0,0,IF(P37&lt;$G$7,0,IF(P37&gt;=INDEX($G$7:$G$106,Q37),Q37,MATCH(P37,$G$7:$G$106,1)))))</x:f>
      </x:c>
      <x:c r="S37" t="str">
        <x:f>IF(R37="","",IF(R37=0,$B$2,INDEX($G$7:$G$106,R37)))</x:f>
      </x:c>
      <x:c r="T37" s="14" t="str">
        <x:f>IF(R37="","",IF(R37=0,0,INDEX($H$7:$H$106,R37)))</x:f>
      </x:c>
      <x:c r="U37" t="str">
        <x:f>IF(R37="","",IF(Q37=0,$F$2,IF(R37=0,$G$7,IF(R37&lt;Q37,INDEX($G$7:$G$106,R37+1),$F$2))))</x:f>
      </x:c>
      <x:c r="V37" s="14" t="str">
        <x:f>IF(R37="","",IF(Q37=0,$H$2,IF(R37=0,$H$7,IF(R37&lt;Q37,INDEX($H$7:$H$106,R37+1),$H$2))))</x:f>
      </x:c>
      <x:c r="W37" s="188" t="str">
        <x:f>IF(R37="","",IF(U37=S37,1,MAX(0,MIN(1,(P37-S37)/(U37-S37)))))</x:f>
      </x:c>
    </x:row>
    <x:row r="38">
      <x:c r="A38" s="159" t="str">
        <x:f>IF(OR(A37="",A37&gt;=$D$2),"",A37+1)</x:f>
      </x:c>
      <x:c r="B38" s="162" t="str">
        <x:f>IF(A38="","",IFERROR(SUMPRODUCT(--('Project Plan'!$A$7:$A$206&lt;&gt;""),('Project Plan'!$P$7:$P$206+('Project Plan'!$P$7:$P$206="")),--('Project Plan'!$F$7:$F$206&lt;&gt;""),--('Project Plan'!$G$7:$G$206&lt;&gt;""),((A38&gt;='Project Plan'!$G$7:$G$206)+((A38&gt;='Project Plan'!$F$7:$F$206)*(A38&lt;'Project Plan'!$G$7:$G$206)*(A38-'Project Plan'!$F$7:$F$206+1)/('Project Plan'!$G$7:$G$206-'Project Plan'!$F$7:$F$206+1))))/SUMPRODUCT(--('Project Plan'!$A$7:$A$206&lt;&gt;""),('Project Plan'!$P$7:$P$206+('Project Plan'!$P$7:$P$206=""))),0))</x:f>
      </x:c>
      <x:c r="C38" s="162" t="str">
        <x:f>IF(A38="","",IF(A38&gt;$F$2,"",IF(A38=$F$2,$H$2,IFERROR(LOOKUP(2,1/(($G$7:$G$106&lt;&gt;"")*($G$7:$G$106&lt;=A38)),$H$7:$H$106),""))))</x:f>
      </x:c>
      <x:c r="D38" s="162" t="str">
        <x:f>IF(C38="","",C38-B38)</x:f>
      </x:c>
      <x:c r="E38" s="163" t="str">
        <x:f>IF(D38="","",IF(D38&gt;=0,"On / Ahead",IF(D38&gt;=-0.05,"Watch","Behind")))</x:f>
      </x:c>
      <x:c r="G38" s="167"/>
      <x:c r="H38" s="168"/>
      <x:c r="I38" s="170"/>
      <x:c r="J38"/>
      <x:c r="K38"/>
      <x:c r="L38"/>
      <x:c r="M38" t="str">
        <x:f>IF(A38="","",TEXT(A38,"mmm d"))</x:f>
      </x:c>
      <x:c r="N38" s="14" t="e">
        <x:f>IF(B38="",NA(),B38)</x:f>
        <x:v>#N/A</x:v>
      </x:c>
      <x:c r="O38" s="14" t="e">
        <x:f>IF(OR(P38="",$B$2="",$F$2="",P38&lt;$B$2,P38&gt;$F$2),NA(),IF(Q38=0,IF($F$2=$B$2,$H$2,MAX(0,MIN(1,$H$2*(3*MAX(0,MIN(1,(P38-$B$2)/($F$2-$B$2)))^2-2*MAX(0,MIN(1,(P38-$B$2)/($F$2-$B$2)))^3)))),MAX(0,MIN(1,T38+(V38-T38)*(3*W38^2-2*W38^3)))))</x:f>
        <x:v>#N/A</x:v>
      </x:c>
      <x:c r="P38" s="189" t="str">
        <x:f>A38</x:f>
      </x:c>
      <x:c r="Q38" t="n">
        <x:f>COUNT($G$7:$G$106)</x:f>
        <x:v>0</x:v>
      </x:c>
      <x:c r="R38" t="str">
        <x:f>IF(OR(P38="",$B$2="",$F$2="",P38&lt;$B$2,P38&gt;$F$2),"",IF(Q38=0,0,IF(P38&lt;$G$7,0,IF(P38&gt;=INDEX($G$7:$G$106,Q38),Q38,MATCH(P38,$G$7:$G$106,1)))))</x:f>
      </x:c>
      <x:c r="S38" t="str">
        <x:f>IF(R38="","",IF(R38=0,$B$2,INDEX($G$7:$G$106,R38)))</x:f>
      </x:c>
      <x:c r="T38" s="14" t="str">
        <x:f>IF(R38="","",IF(R38=0,0,INDEX($H$7:$H$106,R38)))</x:f>
      </x:c>
      <x:c r="U38" t="str">
        <x:f>IF(R38="","",IF(Q38=0,$F$2,IF(R38=0,$G$7,IF(R38&lt;Q38,INDEX($G$7:$G$106,R38+1),$F$2))))</x:f>
      </x:c>
      <x:c r="V38" s="14" t="str">
        <x:f>IF(R38="","",IF(Q38=0,$H$2,IF(R38=0,$H$7,IF(R38&lt;Q38,INDEX($H$7:$H$106,R38+1),$H$2))))</x:f>
      </x:c>
      <x:c r="W38" s="188" t="str">
        <x:f>IF(R38="","",IF(U38=S38,1,MAX(0,MIN(1,(P38-S38)/(U38-S38)))))</x:f>
      </x:c>
    </x:row>
    <x:row r="39">
      <x:c r="A39" s="159" t="str">
        <x:f>IF(OR(A38="",A38&gt;=$D$2),"",A38+1)</x:f>
      </x:c>
      <x:c r="B39" s="162" t="str">
        <x:f>IF(A39="","",IFERROR(SUMPRODUCT(--('Project Plan'!$A$7:$A$206&lt;&gt;""),('Project Plan'!$P$7:$P$206+('Project Plan'!$P$7:$P$206="")),--('Project Plan'!$F$7:$F$206&lt;&gt;""),--('Project Plan'!$G$7:$G$206&lt;&gt;""),((A39&gt;='Project Plan'!$G$7:$G$206)+((A39&gt;='Project Plan'!$F$7:$F$206)*(A39&lt;'Project Plan'!$G$7:$G$206)*(A39-'Project Plan'!$F$7:$F$206+1)/('Project Plan'!$G$7:$G$206-'Project Plan'!$F$7:$F$206+1))))/SUMPRODUCT(--('Project Plan'!$A$7:$A$206&lt;&gt;""),('Project Plan'!$P$7:$P$206+('Project Plan'!$P$7:$P$206=""))),0))</x:f>
      </x:c>
      <x:c r="C39" s="162" t="str">
        <x:f>IF(A39="","",IF(A39&gt;$F$2,"",IF(A39=$F$2,$H$2,IFERROR(LOOKUP(2,1/(($G$7:$G$106&lt;&gt;"")*($G$7:$G$106&lt;=A39)),$H$7:$H$106),""))))</x:f>
      </x:c>
      <x:c r="D39" s="162" t="str">
        <x:f>IF(C39="","",C39-B39)</x:f>
      </x:c>
      <x:c r="E39" s="163" t="str">
        <x:f>IF(D39="","",IF(D39&gt;=0,"On / Ahead",IF(D39&gt;=-0.05,"Watch","Behind")))</x:f>
      </x:c>
      <x:c r="G39" s="167"/>
      <x:c r="H39" s="168"/>
      <x:c r="I39" s="170"/>
      <x:c r="J39"/>
      <x:c r="K39"/>
      <x:c r="L39"/>
      <x:c r="M39" t="str">
        <x:f>IF(A39="","",TEXT(A39,"mmm d"))</x:f>
      </x:c>
      <x:c r="N39" s="14" t="e">
        <x:f>IF(B39="",NA(),B39)</x:f>
        <x:v>#N/A</x:v>
      </x:c>
      <x:c r="O39" s="14" t="e">
        <x:f>IF(OR(P39="",$B$2="",$F$2="",P39&lt;$B$2,P39&gt;$F$2),NA(),IF(Q39=0,IF($F$2=$B$2,$H$2,MAX(0,MIN(1,$H$2*(3*MAX(0,MIN(1,(P39-$B$2)/($F$2-$B$2)))^2-2*MAX(0,MIN(1,(P39-$B$2)/($F$2-$B$2)))^3)))),MAX(0,MIN(1,T39+(V39-T39)*(3*W39^2-2*W39^3)))))</x:f>
        <x:v>#N/A</x:v>
      </x:c>
      <x:c r="P39" s="189" t="str">
        <x:f>A39</x:f>
      </x:c>
      <x:c r="Q39" t="n">
        <x:f>COUNT($G$7:$G$106)</x:f>
        <x:v>0</x:v>
      </x:c>
      <x:c r="R39" t="str">
        <x:f>IF(OR(P39="",$B$2="",$F$2="",P39&lt;$B$2,P39&gt;$F$2),"",IF(Q39=0,0,IF(P39&lt;$G$7,0,IF(P39&gt;=INDEX($G$7:$G$106,Q39),Q39,MATCH(P39,$G$7:$G$106,1)))))</x:f>
      </x:c>
      <x:c r="S39" t="str">
        <x:f>IF(R39="","",IF(R39=0,$B$2,INDEX($G$7:$G$106,R39)))</x:f>
      </x:c>
      <x:c r="T39" s="14" t="str">
        <x:f>IF(R39="","",IF(R39=0,0,INDEX($H$7:$H$106,R39)))</x:f>
      </x:c>
      <x:c r="U39" t="str">
        <x:f>IF(R39="","",IF(Q39=0,$F$2,IF(R39=0,$G$7,IF(R39&lt;Q39,INDEX($G$7:$G$106,R39+1),$F$2))))</x:f>
      </x:c>
      <x:c r="V39" s="14" t="str">
        <x:f>IF(R39="","",IF(Q39=0,$H$2,IF(R39=0,$H$7,IF(R39&lt;Q39,INDEX($H$7:$H$106,R39+1),$H$2))))</x:f>
      </x:c>
      <x:c r="W39" s="188" t="str">
        <x:f>IF(R39="","",IF(U39=S39,1,MAX(0,MIN(1,(P39-S39)/(U39-S39)))))</x:f>
      </x:c>
    </x:row>
    <x:row r="40">
      <x:c r="A40" s="159" t="str">
        <x:f>IF(OR(A39="",A39&gt;=$D$2),"",A39+1)</x:f>
      </x:c>
      <x:c r="B40" s="162" t="str">
        <x:f>IF(A40="","",IFERROR(SUMPRODUCT(--('Project Plan'!$A$7:$A$206&lt;&gt;""),('Project Plan'!$P$7:$P$206+('Project Plan'!$P$7:$P$206="")),--('Project Plan'!$F$7:$F$206&lt;&gt;""),--('Project Plan'!$G$7:$G$206&lt;&gt;""),((A40&gt;='Project Plan'!$G$7:$G$206)+((A40&gt;='Project Plan'!$F$7:$F$206)*(A40&lt;'Project Plan'!$G$7:$G$206)*(A40-'Project Plan'!$F$7:$F$206+1)/('Project Plan'!$G$7:$G$206-'Project Plan'!$F$7:$F$206+1))))/SUMPRODUCT(--('Project Plan'!$A$7:$A$206&lt;&gt;""),('Project Plan'!$P$7:$P$206+('Project Plan'!$P$7:$P$206=""))),0))</x:f>
      </x:c>
      <x:c r="C40" s="162" t="str">
        <x:f>IF(A40="","",IF(A40&gt;$F$2,"",IF(A40=$F$2,$H$2,IFERROR(LOOKUP(2,1/(($G$7:$G$106&lt;&gt;"")*($G$7:$G$106&lt;=A40)),$H$7:$H$106),""))))</x:f>
      </x:c>
      <x:c r="D40" s="162" t="str">
        <x:f>IF(C40="","",C40-B40)</x:f>
      </x:c>
      <x:c r="E40" s="163" t="str">
        <x:f>IF(D40="","",IF(D40&gt;=0,"On / Ahead",IF(D40&gt;=-0.05,"Watch","Behind")))</x:f>
      </x:c>
      <x:c r="G40" s="167"/>
      <x:c r="H40" s="168"/>
      <x:c r="I40" s="170"/>
      <x:c r="J40"/>
      <x:c r="K40"/>
      <x:c r="L40"/>
      <x:c r="M40" t="str">
        <x:f>IF(A40="","",TEXT(A40,"mmm d"))</x:f>
      </x:c>
      <x:c r="N40" s="14" t="e">
        <x:f>IF(B40="",NA(),B40)</x:f>
        <x:v>#N/A</x:v>
      </x:c>
      <x:c r="O40" s="14" t="e">
        <x:f>IF(OR(P40="",$B$2="",$F$2="",P40&lt;$B$2,P40&gt;$F$2),NA(),IF(Q40=0,IF($F$2=$B$2,$H$2,MAX(0,MIN(1,$H$2*(3*MAX(0,MIN(1,(P40-$B$2)/($F$2-$B$2)))^2-2*MAX(0,MIN(1,(P40-$B$2)/($F$2-$B$2)))^3)))),MAX(0,MIN(1,T40+(V40-T40)*(3*W40^2-2*W40^3)))))</x:f>
        <x:v>#N/A</x:v>
      </x:c>
      <x:c r="P40" s="189" t="str">
        <x:f>A40</x:f>
      </x:c>
      <x:c r="Q40" t="n">
        <x:f>COUNT($G$7:$G$106)</x:f>
        <x:v>0</x:v>
      </x:c>
      <x:c r="R40" t="str">
        <x:f>IF(OR(P40="",$B$2="",$F$2="",P40&lt;$B$2,P40&gt;$F$2),"",IF(Q40=0,0,IF(P40&lt;$G$7,0,IF(P40&gt;=INDEX($G$7:$G$106,Q40),Q40,MATCH(P40,$G$7:$G$106,1)))))</x:f>
      </x:c>
      <x:c r="S40" t="str">
        <x:f>IF(R40="","",IF(R40=0,$B$2,INDEX($G$7:$G$106,R40)))</x:f>
      </x:c>
      <x:c r="T40" s="14" t="str">
        <x:f>IF(R40="","",IF(R40=0,0,INDEX($H$7:$H$106,R40)))</x:f>
      </x:c>
      <x:c r="U40" t="str">
        <x:f>IF(R40="","",IF(Q40=0,$F$2,IF(R40=0,$G$7,IF(R40&lt;Q40,INDEX($G$7:$G$106,R40+1),$F$2))))</x:f>
      </x:c>
      <x:c r="V40" s="14" t="str">
        <x:f>IF(R40="","",IF(Q40=0,$H$2,IF(R40=0,$H$7,IF(R40&lt;Q40,INDEX($H$7:$H$106,R40+1),$H$2))))</x:f>
      </x:c>
      <x:c r="W40" s="188" t="str">
        <x:f>IF(R40="","",IF(U40=S40,1,MAX(0,MIN(1,(P40-S40)/(U40-S40)))))</x:f>
      </x:c>
    </x:row>
    <x:row r="41">
      <x:c r="A41" s="159" t="str">
        <x:f>IF(OR(A40="",A40&gt;=$D$2),"",A40+1)</x:f>
      </x:c>
      <x:c r="B41" s="162" t="str">
        <x:f>IF(A41="","",IFERROR(SUMPRODUCT(--('Project Plan'!$A$7:$A$206&lt;&gt;""),('Project Plan'!$P$7:$P$206+('Project Plan'!$P$7:$P$206="")),--('Project Plan'!$F$7:$F$206&lt;&gt;""),--('Project Plan'!$G$7:$G$206&lt;&gt;""),((A41&gt;='Project Plan'!$G$7:$G$206)+((A41&gt;='Project Plan'!$F$7:$F$206)*(A41&lt;'Project Plan'!$G$7:$G$206)*(A41-'Project Plan'!$F$7:$F$206+1)/('Project Plan'!$G$7:$G$206-'Project Plan'!$F$7:$F$206+1))))/SUMPRODUCT(--('Project Plan'!$A$7:$A$206&lt;&gt;""),('Project Plan'!$P$7:$P$206+('Project Plan'!$P$7:$P$206=""))),0))</x:f>
      </x:c>
      <x:c r="C41" s="162" t="str">
        <x:f>IF(A41="","",IF(A41&gt;$F$2,"",IF(A41=$F$2,$H$2,IFERROR(LOOKUP(2,1/(($G$7:$G$106&lt;&gt;"")*($G$7:$G$106&lt;=A41)),$H$7:$H$106),""))))</x:f>
      </x:c>
      <x:c r="D41" s="162" t="str">
        <x:f>IF(C41="","",C41-B41)</x:f>
      </x:c>
      <x:c r="E41" s="163" t="str">
        <x:f>IF(D41="","",IF(D41&gt;=0,"On / Ahead",IF(D41&gt;=-0.05,"Watch","Behind")))</x:f>
      </x:c>
      <x:c r="G41" s="167"/>
      <x:c r="H41" s="168"/>
      <x:c r="I41" s="170"/>
      <x:c r="J41"/>
      <x:c r="K41"/>
      <x:c r="L41"/>
      <x:c r="M41" t="str">
        <x:f>IF(A41="","",TEXT(A41,"mmm d"))</x:f>
      </x:c>
      <x:c r="N41" s="14" t="e">
        <x:f>IF(B41="",NA(),B41)</x:f>
        <x:v>#N/A</x:v>
      </x:c>
      <x:c r="O41" s="14" t="e">
        <x:f>IF(OR(P41="",$B$2="",$F$2="",P41&lt;$B$2,P41&gt;$F$2),NA(),IF(Q41=0,IF($F$2=$B$2,$H$2,MAX(0,MIN(1,$H$2*(3*MAX(0,MIN(1,(P41-$B$2)/($F$2-$B$2)))^2-2*MAX(0,MIN(1,(P41-$B$2)/($F$2-$B$2)))^3)))),MAX(0,MIN(1,T41+(V41-T41)*(3*W41^2-2*W41^3)))))</x:f>
        <x:v>#N/A</x:v>
      </x:c>
      <x:c r="P41" s="189" t="str">
        <x:f>A41</x:f>
      </x:c>
      <x:c r="Q41" t="n">
        <x:f>COUNT($G$7:$G$106)</x:f>
        <x:v>0</x:v>
      </x:c>
      <x:c r="R41" t="str">
        <x:f>IF(OR(P41="",$B$2="",$F$2="",P41&lt;$B$2,P41&gt;$F$2),"",IF(Q41=0,0,IF(P41&lt;$G$7,0,IF(P41&gt;=INDEX($G$7:$G$106,Q41),Q41,MATCH(P41,$G$7:$G$106,1)))))</x:f>
      </x:c>
      <x:c r="S41" t="str">
        <x:f>IF(R41="","",IF(R41=0,$B$2,INDEX($G$7:$G$106,R41)))</x:f>
      </x:c>
      <x:c r="T41" s="14" t="str">
        <x:f>IF(R41="","",IF(R41=0,0,INDEX($H$7:$H$106,R41)))</x:f>
      </x:c>
      <x:c r="U41" t="str">
        <x:f>IF(R41="","",IF(Q41=0,$F$2,IF(R41=0,$G$7,IF(R41&lt;Q41,INDEX($G$7:$G$106,R41+1),$F$2))))</x:f>
      </x:c>
      <x:c r="V41" s="14" t="str">
        <x:f>IF(R41="","",IF(Q41=0,$H$2,IF(R41=0,$H$7,IF(R41&lt;Q41,INDEX($H$7:$H$106,R41+1),$H$2))))</x:f>
      </x:c>
      <x:c r="W41" s="188" t="str">
        <x:f>IF(R41="","",IF(U41=S41,1,MAX(0,MIN(1,(P41-S41)/(U41-S41)))))</x:f>
      </x:c>
    </x:row>
    <x:row r="42">
      <x:c r="A42" s="159" t="str">
        <x:f>IF(OR(A41="",A41&gt;=$D$2),"",A41+1)</x:f>
      </x:c>
      <x:c r="B42" s="162" t="str">
        <x:f>IF(A42="","",IFERROR(SUMPRODUCT(--('Project Plan'!$A$7:$A$206&lt;&gt;""),('Project Plan'!$P$7:$P$206+('Project Plan'!$P$7:$P$206="")),--('Project Plan'!$F$7:$F$206&lt;&gt;""),--('Project Plan'!$G$7:$G$206&lt;&gt;""),((A42&gt;='Project Plan'!$G$7:$G$206)+((A42&gt;='Project Plan'!$F$7:$F$206)*(A42&lt;'Project Plan'!$G$7:$G$206)*(A42-'Project Plan'!$F$7:$F$206+1)/('Project Plan'!$G$7:$G$206-'Project Plan'!$F$7:$F$206+1))))/SUMPRODUCT(--('Project Plan'!$A$7:$A$206&lt;&gt;""),('Project Plan'!$P$7:$P$206+('Project Plan'!$P$7:$P$206=""))),0))</x:f>
      </x:c>
      <x:c r="C42" s="162" t="str">
        <x:f>IF(A42="","",IF(A42&gt;$F$2,"",IF(A42=$F$2,$H$2,IFERROR(LOOKUP(2,1/(($G$7:$G$106&lt;&gt;"")*($G$7:$G$106&lt;=A42)),$H$7:$H$106),""))))</x:f>
      </x:c>
      <x:c r="D42" s="162" t="str">
        <x:f>IF(C42="","",C42-B42)</x:f>
      </x:c>
      <x:c r="E42" s="163" t="str">
        <x:f>IF(D42="","",IF(D42&gt;=0,"On / Ahead",IF(D42&gt;=-0.05,"Watch","Behind")))</x:f>
      </x:c>
      <x:c r="G42" s="167"/>
      <x:c r="H42" s="168"/>
      <x:c r="I42" s="170"/>
      <x:c r="J42"/>
      <x:c r="K42"/>
      <x:c r="L42"/>
      <x:c r="M42" t="str">
        <x:f>IF(A42="","",TEXT(A42,"mmm d"))</x:f>
      </x:c>
      <x:c r="N42" s="14" t="e">
        <x:f>IF(B42="",NA(),B42)</x:f>
        <x:v>#N/A</x:v>
      </x:c>
      <x:c r="O42" s="14" t="e">
        <x:f>IF(OR(P42="",$B$2="",$F$2="",P42&lt;$B$2,P42&gt;$F$2),NA(),IF(Q42=0,IF($F$2=$B$2,$H$2,MAX(0,MIN(1,$H$2*(3*MAX(0,MIN(1,(P42-$B$2)/($F$2-$B$2)))^2-2*MAX(0,MIN(1,(P42-$B$2)/($F$2-$B$2)))^3)))),MAX(0,MIN(1,T42+(V42-T42)*(3*W42^2-2*W42^3)))))</x:f>
        <x:v>#N/A</x:v>
      </x:c>
      <x:c r="P42" s="189" t="str">
        <x:f>A42</x:f>
      </x:c>
      <x:c r="Q42" t="n">
        <x:f>COUNT($G$7:$G$106)</x:f>
        <x:v>0</x:v>
      </x:c>
      <x:c r="R42" t="str">
        <x:f>IF(OR(P42="",$B$2="",$F$2="",P42&lt;$B$2,P42&gt;$F$2),"",IF(Q42=0,0,IF(P42&lt;$G$7,0,IF(P42&gt;=INDEX($G$7:$G$106,Q42),Q42,MATCH(P42,$G$7:$G$106,1)))))</x:f>
      </x:c>
      <x:c r="S42" t="str">
        <x:f>IF(R42="","",IF(R42=0,$B$2,INDEX($G$7:$G$106,R42)))</x:f>
      </x:c>
      <x:c r="T42" s="14" t="str">
        <x:f>IF(R42="","",IF(R42=0,0,INDEX($H$7:$H$106,R42)))</x:f>
      </x:c>
      <x:c r="U42" t="str">
        <x:f>IF(R42="","",IF(Q42=0,$F$2,IF(R42=0,$G$7,IF(R42&lt;Q42,INDEX($G$7:$G$106,R42+1),$F$2))))</x:f>
      </x:c>
      <x:c r="V42" s="14" t="str">
        <x:f>IF(R42="","",IF(Q42=0,$H$2,IF(R42=0,$H$7,IF(R42&lt;Q42,INDEX($H$7:$H$106,R42+1),$H$2))))</x:f>
      </x:c>
      <x:c r="W42" s="188" t="str">
        <x:f>IF(R42="","",IF(U42=S42,1,MAX(0,MIN(1,(P42-S42)/(U42-S42)))))</x:f>
      </x:c>
    </x:row>
    <x:row r="43">
      <x:c r="A43" s="159" t="str">
        <x:f>IF(OR(A42="",A42&gt;=$D$2),"",A42+1)</x:f>
      </x:c>
      <x:c r="B43" s="162" t="str">
        <x:f>IF(A43="","",IFERROR(SUMPRODUCT(--('Project Plan'!$A$7:$A$206&lt;&gt;""),('Project Plan'!$P$7:$P$206+('Project Plan'!$P$7:$P$206="")),--('Project Plan'!$F$7:$F$206&lt;&gt;""),--('Project Plan'!$G$7:$G$206&lt;&gt;""),((A43&gt;='Project Plan'!$G$7:$G$206)+((A43&gt;='Project Plan'!$F$7:$F$206)*(A43&lt;'Project Plan'!$G$7:$G$206)*(A43-'Project Plan'!$F$7:$F$206+1)/('Project Plan'!$G$7:$G$206-'Project Plan'!$F$7:$F$206+1))))/SUMPRODUCT(--('Project Plan'!$A$7:$A$206&lt;&gt;""),('Project Plan'!$P$7:$P$206+('Project Plan'!$P$7:$P$206=""))),0))</x:f>
      </x:c>
      <x:c r="C43" s="162" t="str">
        <x:f>IF(A43="","",IF(A43&gt;$F$2,"",IF(A43=$F$2,$H$2,IFERROR(LOOKUP(2,1/(($G$7:$G$106&lt;&gt;"")*($G$7:$G$106&lt;=A43)),$H$7:$H$106),""))))</x:f>
      </x:c>
      <x:c r="D43" s="162" t="str">
        <x:f>IF(C43="","",C43-B43)</x:f>
      </x:c>
      <x:c r="E43" s="163" t="str">
        <x:f>IF(D43="","",IF(D43&gt;=0,"On / Ahead",IF(D43&gt;=-0.05,"Watch","Behind")))</x:f>
      </x:c>
      <x:c r="G43" s="167"/>
      <x:c r="H43" s="168"/>
      <x:c r="I43" s="170"/>
      <x:c r="J43"/>
      <x:c r="K43"/>
      <x:c r="L43"/>
      <x:c r="M43" t="str">
        <x:f>IF(A43="","",TEXT(A43,"mmm d"))</x:f>
      </x:c>
      <x:c r="N43" s="14" t="e">
        <x:f>IF(B43="",NA(),B43)</x:f>
        <x:v>#N/A</x:v>
      </x:c>
      <x:c r="O43" s="14" t="e">
        <x:f>IF(OR(P43="",$B$2="",$F$2="",P43&lt;$B$2,P43&gt;$F$2),NA(),IF(Q43=0,IF($F$2=$B$2,$H$2,MAX(0,MIN(1,$H$2*(3*MAX(0,MIN(1,(P43-$B$2)/($F$2-$B$2)))^2-2*MAX(0,MIN(1,(P43-$B$2)/($F$2-$B$2)))^3)))),MAX(0,MIN(1,T43+(V43-T43)*(3*W43^2-2*W43^3)))))</x:f>
        <x:v>#N/A</x:v>
      </x:c>
      <x:c r="P43" s="189" t="str">
        <x:f>A43</x:f>
      </x:c>
      <x:c r="Q43" t="n">
        <x:f>COUNT($G$7:$G$106)</x:f>
        <x:v>0</x:v>
      </x:c>
      <x:c r="R43" t="str">
        <x:f>IF(OR(P43="",$B$2="",$F$2="",P43&lt;$B$2,P43&gt;$F$2),"",IF(Q43=0,0,IF(P43&lt;$G$7,0,IF(P43&gt;=INDEX($G$7:$G$106,Q43),Q43,MATCH(P43,$G$7:$G$106,1)))))</x:f>
      </x:c>
      <x:c r="S43" t="str">
        <x:f>IF(R43="","",IF(R43=0,$B$2,INDEX($G$7:$G$106,R43)))</x:f>
      </x:c>
      <x:c r="T43" s="14" t="str">
        <x:f>IF(R43="","",IF(R43=0,0,INDEX($H$7:$H$106,R43)))</x:f>
      </x:c>
      <x:c r="U43" t="str">
        <x:f>IF(R43="","",IF(Q43=0,$F$2,IF(R43=0,$G$7,IF(R43&lt;Q43,INDEX($G$7:$G$106,R43+1),$F$2))))</x:f>
      </x:c>
      <x:c r="V43" s="14" t="str">
        <x:f>IF(R43="","",IF(Q43=0,$H$2,IF(R43=0,$H$7,IF(R43&lt;Q43,INDEX($H$7:$H$106,R43+1),$H$2))))</x:f>
      </x:c>
      <x:c r="W43" s="188" t="str">
        <x:f>IF(R43="","",IF(U43=S43,1,MAX(0,MIN(1,(P43-S43)/(U43-S43)))))</x:f>
      </x:c>
    </x:row>
    <x:row r="44">
      <x:c r="A44" s="159" t="str">
        <x:f>IF(OR(A43="",A43&gt;=$D$2),"",A43+1)</x:f>
      </x:c>
      <x:c r="B44" s="162" t="str">
        <x:f>IF(A44="","",IFERROR(SUMPRODUCT(--('Project Plan'!$A$7:$A$206&lt;&gt;""),('Project Plan'!$P$7:$P$206+('Project Plan'!$P$7:$P$206="")),--('Project Plan'!$F$7:$F$206&lt;&gt;""),--('Project Plan'!$G$7:$G$206&lt;&gt;""),((A44&gt;='Project Plan'!$G$7:$G$206)+((A44&gt;='Project Plan'!$F$7:$F$206)*(A44&lt;'Project Plan'!$G$7:$G$206)*(A44-'Project Plan'!$F$7:$F$206+1)/('Project Plan'!$G$7:$G$206-'Project Plan'!$F$7:$F$206+1))))/SUMPRODUCT(--('Project Plan'!$A$7:$A$206&lt;&gt;""),('Project Plan'!$P$7:$P$206+('Project Plan'!$P$7:$P$206=""))),0))</x:f>
      </x:c>
      <x:c r="C44" s="162" t="str">
        <x:f>IF(A44="","",IF(A44&gt;$F$2,"",IF(A44=$F$2,$H$2,IFERROR(LOOKUP(2,1/(($G$7:$G$106&lt;&gt;"")*($G$7:$G$106&lt;=A44)),$H$7:$H$106),""))))</x:f>
      </x:c>
      <x:c r="D44" s="162" t="str">
        <x:f>IF(C44="","",C44-B44)</x:f>
      </x:c>
      <x:c r="E44" s="163" t="str">
        <x:f>IF(D44="","",IF(D44&gt;=0,"On / Ahead",IF(D44&gt;=-0.05,"Watch","Behind")))</x:f>
      </x:c>
      <x:c r="G44" s="167"/>
      <x:c r="H44" s="168"/>
      <x:c r="I44" s="170"/>
      <x:c r="J44"/>
      <x:c r="K44"/>
      <x:c r="L44"/>
      <x:c r="M44" t="str">
        <x:f>IF(A44="","",TEXT(A44,"mmm d"))</x:f>
      </x:c>
      <x:c r="N44" s="14" t="e">
        <x:f>IF(B44="",NA(),B44)</x:f>
        <x:v>#N/A</x:v>
      </x:c>
      <x:c r="O44" s="14" t="e">
        <x:f>IF(OR(P44="",$B$2="",$F$2="",P44&lt;$B$2,P44&gt;$F$2),NA(),IF(Q44=0,IF($F$2=$B$2,$H$2,MAX(0,MIN(1,$H$2*(3*MAX(0,MIN(1,(P44-$B$2)/($F$2-$B$2)))^2-2*MAX(0,MIN(1,(P44-$B$2)/($F$2-$B$2)))^3)))),MAX(0,MIN(1,T44+(V44-T44)*(3*W44^2-2*W44^3)))))</x:f>
        <x:v>#N/A</x:v>
      </x:c>
      <x:c r="P44" s="189" t="str">
        <x:f>A44</x:f>
      </x:c>
      <x:c r="Q44" t="n">
        <x:f>COUNT($G$7:$G$106)</x:f>
        <x:v>0</x:v>
      </x:c>
      <x:c r="R44" t="str">
        <x:f>IF(OR(P44="",$B$2="",$F$2="",P44&lt;$B$2,P44&gt;$F$2),"",IF(Q44=0,0,IF(P44&lt;$G$7,0,IF(P44&gt;=INDEX($G$7:$G$106,Q44),Q44,MATCH(P44,$G$7:$G$106,1)))))</x:f>
      </x:c>
      <x:c r="S44" t="str">
        <x:f>IF(R44="","",IF(R44=0,$B$2,INDEX($G$7:$G$106,R44)))</x:f>
      </x:c>
      <x:c r="T44" s="14" t="str">
        <x:f>IF(R44="","",IF(R44=0,0,INDEX($H$7:$H$106,R44)))</x:f>
      </x:c>
      <x:c r="U44" t="str">
        <x:f>IF(R44="","",IF(Q44=0,$F$2,IF(R44=0,$G$7,IF(R44&lt;Q44,INDEX($G$7:$G$106,R44+1),$F$2))))</x:f>
      </x:c>
      <x:c r="V44" s="14" t="str">
        <x:f>IF(R44="","",IF(Q44=0,$H$2,IF(R44=0,$H$7,IF(R44&lt;Q44,INDEX($H$7:$H$106,R44+1),$H$2))))</x:f>
      </x:c>
      <x:c r="W44" s="188" t="str">
        <x:f>IF(R44="","",IF(U44=S44,1,MAX(0,MIN(1,(P44-S44)/(U44-S44)))))</x:f>
      </x:c>
    </x:row>
    <x:row r="45">
      <x:c r="A45" s="159" t="str">
        <x:f>IF(OR(A44="",A44&gt;=$D$2),"",A44+1)</x:f>
      </x:c>
      <x:c r="B45" s="162" t="str">
        <x:f>IF(A45="","",IFERROR(SUMPRODUCT(--('Project Plan'!$A$7:$A$206&lt;&gt;""),('Project Plan'!$P$7:$P$206+('Project Plan'!$P$7:$P$206="")),--('Project Plan'!$F$7:$F$206&lt;&gt;""),--('Project Plan'!$G$7:$G$206&lt;&gt;""),((A45&gt;='Project Plan'!$G$7:$G$206)+((A45&gt;='Project Plan'!$F$7:$F$206)*(A45&lt;'Project Plan'!$G$7:$G$206)*(A45-'Project Plan'!$F$7:$F$206+1)/('Project Plan'!$G$7:$G$206-'Project Plan'!$F$7:$F$206+1))))/SUMPRODUCT(--('Project Plan'!$A$7:$A$206&lt;&gt;""),('Project Plan'!$P$7:$P$206+('Project Plan'!$P$7:$P$206=""))),0))</x:f>
      </x:c>
      <x:c r="C45" s="162" t="str">
        <x:f>IF(A45="","",IF(A45&gt;$F$2,"",IF(A45=$F$2,$H$2,IFERROR(LOOKUP(2,1/(($G$7:$G$106&lt;&gt;"")*($G$7:$G$106&lt;=A45)),$H$7:$H$106),""))))</x:f>
      </x:c>
      <x:c r="D45" s="162" t="str">
        <x:f>IF(C45="","",C45-B45)</x:f>
      </x:c>
      <x:c r="E45" s="163" t="str">
        <x:f>IF(D45="","",IF(D45&gt;=0,"On / Ahead",IF(D45&gt;=-0.05,"Watch","Behind")))</x:f>
      </x:c>
      <x:c r="G45" s="167"/>
      <x:c r="H45" s="168"/>
      <x:c r="I45" s="170"/>
      <x:c r="J45"/>
      <x:c r="K45"/>
      <x:c r="L45"/>
      <x:c r="M45" t="str">
        <x:f>IF(A45="","",TEXT(A45,"mmm d"))</x:f>
      </x:c>
      <x:c r="N45" s="14" t="e">
        <x:f>IF(B45="",NA(),B45)</x:f>
        <x:v>#N/A</x:v>
      </x:c>
      <x:c r="O45" s="14" t="e">
        <x:f>IF(OR(P45="",$B$2="",$F$2="",P45&lt;$B$2,P45&gt;$F$2),NA(),IF(Q45=0,IF($F$2=$B$2,$H$2,MAX(0,MIN(1,$H$2*(3*MAX(0,MIN(1,(P45-$B$2)/($F$2-$B$2)))^2-2*MAX(0,MIN(1,(P45-$B$2)/($F$2-$B$2)))^3)))),MAX(0,MIN(1,T45+(V45-T45)*(3*W45^2-2*W45^3)))))</x:f>
        <x:v>#N/A</x:v>
      </x:c>
      <x:c r="P45" s="189" t="str">
        <x:f>A45</x:f>
      </x:c>
      <x:c r="Q45" t="n">
        <x:f>COUNT($G$7:$G$106)</x:f>
        <x:v>0</x:v>
      </x:c>
      <x:c r="R45" t="str">
        <x:f>IF(OR(P45="",$B$2="",$F$2="",P45&lt;$B$2,P45&gt;$F$2),"",IF(Q45=0,0,IF(P45&lt;$G$7,0,IF(P45&gt;=INDEX($G$7:$G$106,Q45),Q45,MATCH(P45,$G$7:$G$106,1)))))</x:f>
      </x:c>
      <x:c r="S45" t="str">
        <x:f>IF(R45="","",IF(R45=0,$B$2,INDEX($G$7:$G$106,R45)))</x:f>
      </x:c>
      <x:c r="T45" s="14" t="str">
        <x:f>IF(R45="","",IF(R45=0,0,INDEX($H$7:$H$106,R45)))</x:f>
      </x:c>
      <x:c r="U45" t="str">
        <x:f>IF(R45="","",IF(Q45=0,$F$2,IF(R45=0,$G$7,IF(R45&lt;Q45,INDEX($G$7:$G$106,R45+1),$F$2))))</x:f>
      </x:c>
      <x:c r="V45" s="14" t="str">
        <x:f>IF(R45="","",IF(Q45=0,$H$2,IF(R45=0,$H$7,IF(R45&lt;Q45,INDEX($H$7:$H$106,R45+1),$H$2))))</x:f>
      </x:c>
      <x:c r="W45" s="188" t="str">
        <x:f>IF(R45="","",IF(U45=S45,1,MAX(0,MIN(1,(P45-S45)/(U45-S45)))))</x:f>
      </x:c>
    </x:row>
    <x:row r="46">
      <x:c r="A46" s="159" t="str">
        <x:f>IF(OR(A45="",A45&gt;=$D$2),"",A45+1)</x:f>
      </x:c>
      <x:c r="B46" s="162" t="str">
        <x:f>IF(A46="","",IFERROR(SUMPRODUCT(--('Project Plan'!$A$7:$A$206&lt;&gt;""),('Project Plan'!$P$7:$P$206+('Project Plan'!$P$7:$P$206="")),--('Project Plan'!$F$7:$F$206&lt;&gt;""),--('Project Plan'!$G$7:$G$206&lt;&gt;""),((A46&gt;='Project Plan'!$G$7:$G$206)+((A46&gt;='Project Plan'!$F$7:$F$206)*(A46&lt;'Project Plan'!$G$7:$G$206)*(A46-'Project Plan'!$F$7:$F$206+1)/('Project Plan'!$G$7:$G$206-'Project Plan'!$F$7:$F$206+1))))/SUMPRODUCT(--('Project Plan'!$A$7:$A$206&lt;&gt;""),('Project Plan'!$P$7:$P$206+('Project Plan'!$P$7:$P$206=""))),0))</x:f>
      </x:c>
      <x:c r="C46" s="162" t="str">
        <x:f>IF(A46="","",IF(A46&gt;$F$2,"",IF(A46=$F$2,$H$2,IFERROR(LOOKUP(2,1/(($G$7:$G$106&lt;&gt;"")*($G$7:$G$106&lt;=A46)),$H$7:$H$106),""))))</x:f>
      </x:c>
      <x:c r="D46" s="162" t="str">
        <x:f>IF(C46="","",C46-B46)</x:f>
      </x:c>
      <x:c r="E46" s="163" t="str">
        <x:f>IF(D46="","",IF(D46&gt;=0,"On / Ahead",IF(D46&gt;=-0.05,"Watch","Behind")))</x:f>
      </x:c>
      <x:c r="G46" s="167"/>
      <x:c r="H46" s="168"/>
      <x:c r="I46" s="170"/>
      <x:c r="J46"/>
      <x:c r="K46"/>
      <x:c r="L46"/>
      <x:c r="M46" t="str">
        <x:f>IF(A46="","",TEXT(A46,"mmm d"))</x:f>
      </x:c>
      <x:c r="N46" s="14" t="e">
        <x:f>IF(B46="",NA(),B46)</x:f>
        <x:v>#N/A</x:v>
      </x:c>
      <x:c r="O46" s="14" t="e">
        <x:f>IF(OR(P46="",$B$2="",$F$2="",P46&lt;$B$2,P46&gt;$F$2),NA(),IF(Q46=0,IF($F$2=$B$2,$H$2,MAX(0,MIN(1,$H$2*(3*MAX(0,MIN(1,(P46-$B$2)/($F$2-$B$2)))^2-2*MAX(0,MIN(1,(P46-$B$2)/($F$2-$B$2)))^3)))),MAX(0,MIN(1,T46+(V46-T46)*(3*W46^2-2*W46^3)))))</x:f>
        <x:v>#N/A</x:v>
      </x:c>
      <x:c r="P46" s="189" t="str">
        <x:f>A46</x:f>
      </x:c>
      <x:c r="Q46" t="n">
        <x:f>COUNT($G$7:$G$106)</x:f>
        <x:v>0</x:v>
      </x:c>
      <x:c r="R46" t="str">
        <x:f>IF(OR(P46="",$B$2="",$F$2="",P46&lt;$B$2,P46&gt;$F$2),"",IF(Q46=0,0,IF(P46&lt;$G$7,0,IF(P46&gt;=INDEX($G$7:$G$106,Q46),Q46,MATCH(P46,$G$7:$G$106,1)))))</x:f>
      </x:c>
      <x:c r="S46" t="str">
        <x:f>IF(R46="","",IF(R46=0,$B$2,INDEX($G$7:$G$106,R46)))</x:f>
      </x:c>
      <x:c r="T46" s="14" t="str">
        <x:f>IF(R46="","",IF(R46=0,0,INDEX($H$7:$H$106,R46)))</x:f>
      </x:c>
      <x:c r="U46" t="str">
        <x:f>IF(R46="","",IF(Q46=0,$F$2,IF(R46=0,$G$7,IF(R46&lt;Q46,INDEX($G$7:$G$106,R46+1),$F$2))))</x:f>
      </x:c>
      <x:c r="V46" s="14" t="str">
        <x:f>IF(R46="","",IF(Q46=0,$H$2,IF(R46=0,$H$7,IF(R46&lt;Q46,INDEX($H$7:$H$106,R46+1),$H$2))))</x:f>
      </x:c>
      <x:c r="W46" s="188" t="str">
        <x:f>IF(R46="","",IF(U46=S46,1,MAX(0,MIN(1,(P46-S46)/(U46-S46)))))</x:f>
      </x:c>
    </x:row>
    <x:row r="47">
      <x:c r="A47" s="159" t="str">
        <x:f>IF(OR(A46="",A46&gt;=$D$2),"",A46+1)</x:f>
      </x:c>
      <x:c r="B47" s="162" t="str">
        <x:f>IF(A47="","",IFERROR(SUMPRODUCT(--('Project Plan'!$A$7:$A$206&lt;&gt;""),('Project Plan'!$P$7:$P$206+('Project Plan'!$P$7:$P$206="")),--('Project Plan'!$F$7:$F$206&lt;&gt;""),--('Project Plan'!$G$7:$G$206&lt;&gt;""),((A47&gt;='Project Plan'!$G$7:$G$206)+((A47&gt;='Project Plan'!$F$7:$F$206)*(A47&lt;'Project Plan'!$G$7:$G$206)*(A47-'Project Plan'!$F$7:$F$206+1)/('Project Plan'!$G$7:$G$206-'Project Plan'!$F$7:$F$206+1))))/SUMPRODUCT(--('Project Plan'!$A$7:$A$206&lt;&gt;""),('Project Plan'!$P$7:$P$206+('Project Plan'!$P$7:$P$206=""))),0))</x:f>
      </x:c>
      <x:c r="C47" s="162" t="str">
        <x:f>IF(A47="","",IF(A47&gt;$F$2,"",IF(A47=$F$2,$H$2,IFERROR(LOOKUP(2,1/(($G$7:$G$106&lt;&gt;"")*($G$7:$G$106&lt;=A47)),$H$7:$H$106),""))))</x:f>
      </x:c>
      <x:c r="D47" s="162" t="str">
        <x:f>IF(C47="","",C47-B47)</x:f>
      </x:c>
      <x:c r="E47" s="163" t="str">
        <x:f>IF(D47="","",IF(D47&gt;=0,"On / Ahead",IF(D47&gt;=-0.05,"Watch","Behind")))</x:f>
      </x:c>
      <x:c r="G47" s="167"/>
      <x:c r="H47" s="168"/>
      <x:c r="I47" s="170"/>
      <x:c r="J47"/>
      <x:c r="K47"/>
      <x:c r="L47"/>
      <x:c r="M47" t="str">
        <x:f>IF(A47="","",TEXT(A47,"mmm d"))</x:f>
      </x:c>
      <x:c r="N47" s="14" t="e">
        <x:f>IF(B47="",NA(),B47)</x:f>
        <x:v>#N/A</x:v>
      </x:c>
      <x:c r="O47" s="14" t="e">
        <x:f>IF(OR(P47="",$B$2="",$F$2="",P47&lt;$B$2,P47&gt;$F$2),NA(),IF(Q47=0,IF($F$2=$B$2,$H$2,MAX(0,MIN(1,$H$2*(3*MAX(0,MIN(1,(P47-$B$2)/($F$2-$B$2)))^2-2*MAX(0,MIN(1,(P47-$B$2)/($F$2-$B$2)))^3)))),MAX(0,MIN(1,T47+(V47-T47)*(3*W47^2-2*W47^3)))))</x:f>
        <x:v>#N/A</x:v>
      </x:c>
      <x:c r="P47" s="189" t="str">
        <x:f>A47</x:f>
      </x:c>
      <x:c r="Q47" t="n">
        <x:f>COUNT($G$7:$G$106)</x:f>
        <x:v>0</x:v>
      </x:c>
      <x:c r="R47" t="str">
        <x:f>IF(OR(P47="",$B$2="",$F$2="",P47&lt;$B$2,P47&gt;$F$2),"",IF(Q47=0,0,IF(P47&lt;$G$7,0,IF(P47&gt;=INDEX($G$7:$G$106,Q47),Q47,MATCH(P47,$G$7:$G$106,1)))))</x:f>
      </x:c>
      <x:c r="S47" t="str">
        <x:f>IF(R47="","",IF(R47=0,$B$2,INDEX($G$7:$G$106,R47)))</x:f>
      </x:c>
      <x:c r="T47" s="14" t="str">
        <x:f>IF(R47="","",IF(R47=0,0,INDEX($H$7:$H$106,R47)))</x:f>
      </x:c>
      <x:c r="U47" t="str">
        <x:f>IF(R47="","",IF(Q47=0,$F$2,IF(R47=0,$G$7,IF(R47&lt;Q47,INDEX($G$7:$G$106,R47+1),$F$2))))</x:f>
      </x:c>
      <x:c r="V47" s="14" t="str">
        <x:f>IF(R47="","",IF(Q47=0,$H$2,IF(R47=0,$H$7,IF(R47&lt;Q47,INDEX($H$7:$H$106,R47+1),$H$2))))</x:f>
      </x:c>
      <x:c r="W47" s="188" t="str">
        <x:f>IF(R47="","",IF(U47=S47,1,MAX(0,MIN(1,(P47-S47)/(U47-S47)))))</x:f>
      </x:c>
    </x:row>
    <x:row r="48">
      <x:c r="A48" s="159" t="str">
        <x:f>IF(OR(A47="",A47&gt;=$D$2),"",A47+1)</x:f>
      </x:c>
      <x:c r="B48" s="162" t="str">
        <x:f>IF(A48="","",IFERROR(SUMPRODUCT(--('Project Plan'!$A$7:$A$206&lt;&gt;""),('Project Plan'!$P$7:$P$206+('Project Plan'!$P$7:$P$206="")),--('Project Plan'!$F$7:$F$206&lt;&gt;""),--('Project Plan'!$G$7:$G$206&lt;&gt;""),((A48&gt;='Project Plan'!$G$7:$G$206)+((A48&gt;='Project Plan'!$F$7:$F$206)*(A48&lt;'Project Plan'!$G$7:$G$206)*(A48-'Project Plan'!$F$7:$F$206+1)/('Project Plan'!$G$7:$G$206-'Project Plan'!$F$7:$F$206+1))))/SUMPRODUCT(--('Project Plan'!$A$7:$A$206&lt;&gt;""),('Project Plan'!$P$7:$P$206+('Project Plan'!$P$7:$P$206=""))),0))</x:f>
      </x:c>
      <x:c r="C48" s="162" t="str">
        <x:f>IF(A48="","",IF(A48&gt;$F$2,"",IF(A48=$F$2,$H$2,IFERROR(LOOKUP(2,1/(($G$7:$G$106&lt;&gt;"")*($G$7:$G$106&lt;=A48)),$H$7:$H$106),""))))</x:f>
      </x:c>
      <x:c r="D48" s="162" t="str">
        <x:f>IF(C48="","",C48-B48)</x:f>
      </x:c>
      <x:c r="E48" s="163" t="str">
        <x:f>IF(D48="","",IF(D48&gt;=0,"On / Ahead",IF(D48&gt;=-0.05,"Watch","Behind")))</x:f>
      </x:c>
      <x:c r="G48" s="167"/>
      <x:c r="H48" s="168"/>
      <x:c r="I48" s="170"/>
      <x:c r="J48"/>
      <x:c r="K48"/>
      <x:c r="L48"/>
      <x:c r="M48" t="str">
        <x:f>IF(A48="","",TEXT(A48,"mmm d"))</x:f>
      </x:c>
      <x:c r="N48" s="14" t="e">
        <x:f>IF(B48="",NA(),B48)</x:f>
        <x:v>#N/A</x:v>
      </x:c>
      <x:c r="O48" s="14" t="e">
        <x:f>IF(OR(P48="",$B$2="",$F$2="",P48&lt;$B$2,P48&gt;$F$2),NA(),IF(Q48=0,IF($F$2=$B$2,$H$2,MAX(0,MIN(1,$H$2*(3*MAX(0,MIN(1,(P48-$B$2)/($F$2-$B$2)))^2-2*MAX(0,MIN(1,(P48-$B$2)/($F$2-$B$2)))^3)))),MAX(0,MIN(1,T48+(V48-T48)*(3*W48^2-2*W48^3)))))</x:f>
        <x:v>#N/A</x:v>
      </x:c>
      <x:c r="P48" s="189" t="str">
        <x:f>A48</x:f>
      </x:c>
      <x:c r="Q48" t="n">
        <x:f>COUNT($G$7:$G$106)</x:f>
        <x:v>0</x:v>
      </x:c>
      <x:c r="R48" t="str">
        <x:f>IF(OR(P48="",$B$2="",$F$2="",P48&lt;$B$2,P48&gt;$F$2),"",IF(Q48=0,0,IF(P48&lt;$G$7,0,IF(P48&gt;=INDEX($G$7:$G$106,Q48),Q48,MATCH(P48,$G$7:$G$106,1)))))</x:f>
      </x:c>
      <x:c r="S48" t="str">
        <x:f>IF(R48="","",IF(R48=0,$B$2,INDEX($G$7:$G$106,R48)))</x:f>
      </x:c>
      <x:c r="T48" s="14" t="str">
        <x:f>IF(R48="","",IF(R48=0,0,INDEX($H$7:$H$106,R48)))</x:f>
      </x:c>
      <x:c r="U48" t="str">
        <x:f>IF(R48="","",IF(Q48=0,$F$2,IF(R48=0,$G$7,IF(R48&lt;Q48,INDEX($G$7:$G$106,R48+1),$F$2))))</x:f>
      </x:c>
      <x:c r="V48" s="14" t="str">
        <x:f>IF(R48="","",IF(Q48=0,$H$2,IF(R48=0,$H$7,IF(R48&lt;Q48,INDEX($H$7:$H$106,R48+1),$H$2))))</x:f>
      </x:c>
      <x:c r="W48" s="188" t="str">
        <x:f>IF(R48="","",IF(U48=S48,1,MAX(0,MIN(1,(P48-S48)/(U48-S48)))))</x:f>
      </x:c>
    </x:row>
    <x:row r="49">
      <x:c r="A49" s="159" t="str">
        <x:f>IF(OR(A48="",A48&gt;=$D$2),"",A48+1)</x:f>
      </x:c>
      <x:c r="B49" s="162" t="str">
        <x:f>IF(A49="","",IFERROR(SUMPRODUCT(--('Project Plan'!$A$7:$A$206&lt;&gt;""),('Project Plan'!$P$7:$P$206+('Project Plan'!$P$7:$P$206="")),--('Project Plan'!$F$7:$F$206&lt;&gt;""),--('Project Plan'!$G$7:$G$206&lt;&gt;""),((A49&gt;='Project Plan'!$G$7:$G$206)+((A49&gt;='Project Plan'!$F$7:$F$206)*(A49&lt;'Project Plan'!$G$7:$G$206)*(A49-'Project Plan'!$F$7:$F$206+1)/('Project Plan'!$G$7:$G$206-'Project Plan'!$F$7:$F$206+1))))/SUMPRODUCT(--('Project Plan'!$A$7:$A$206&lt;&gt;""),('Project Plan'!$P$7:$P$206+('Project Plan'!$P$7:$P$206=""))),0))</x:f>
      </x:c>
      <x:c r="C49" s="162" t="str">
        <x:f>IF(A49="","",IF(A49&gt;$F$2,"",IF(A49=$F$2,$H$2,IFERROR(LOOKUP(2,1/(($G$7:$G$106&lt;&gt;"")*($G$7:$G$106&lt;=A49)),$H$7:$H$106),""))))</x:f>
      </x:c>
      <x:c r="D49" s="162" t="str">
        <x:f>IF(C49="","",C49-B49)</x:f>
      </x:c>
      <x:c r="E49" s="163" t="str">
        <x:f>IF(D49="","",IF(D49&gt;=0,"On / Ahead",IF(D49&gt;=-0.05,"Watch","Behind")))</x:f>
      </x:c>
      <x:c r="G49" s="167"/>
      <x:c r="H49" s="168"/>
      <x:c r="I49" s="170"/>
      <x:c r="J49"/>
      <x:c r="K49"/>
      <x:c r="L49"/>
      <x:c r="M49" t="str">
        <x:f>IF(A49="","",TEXT(A49,"mmm d"))</x:f>
      </x:c>
      <x:c r="N49" s="14" t="e">
        <x:f>IF(B49="",NA(),B49)</x:f>
        <x:v>#N/A</x:v>
      </x:c>
      <x:c r="O49" s="14" t="e">
        <x:f>IF(OR(P49="",$B$2="",$F$2="",P49&lt;$B$2,P49&gt;$F$2),NA(),IF(Q49=0,IF($F$2=$B$2,$H$2,MAX(0,MIN(1,$H$2*(3*MAX(0,MIN(1,(P49-$B$2)/($F$2-$B$2)))^2-2*MAX(0,MIN(1,(P49-$B$2)/($F$2-$B$2)))^3)))),MAX(0,MIN(1,T49+(V49-T49)*(3*W49^2-2*W49^3)))))</x:f>
        <x:v>#N/A</x:v>
      </x:c>
      <x:c r="P49" s="189" t="str">
        <x:f>A49</x:f>
      </x:c>
      <x:c r="Q49" t="n">
        <x:f>COUNT($G$7:$G$106)</x:f>
        <x:v>0</x:v>
      </x:c>
      <x:c r="R49" t="str">
        <x:f>IF(OR(P49="",$B$2="",$F$2="",P49&lt;$B$2,P49&gt;$F$2),"",IF(Q49=0,0,IF(P49&lt;$G$7,0,IF(P49&gt;=INDEX($G$7:$G$106,Q49),Q49,MATCH(P49,$G$7:$G$106,1)))))</x:f>
      </x:c>
      <x:c r="S49" t="str">
        <x:f>IF(R49="","",IF(R49=0,$B$2,INDEX($G$7:$G$106,R49)))</x:f>
      </x:c>
      <x:c r="T49" s="14" t="str">
        <x:f>IF(R49="","",IF(R49=0,0,INDEX($H$7:$H$106,R49)))</x:f>
      </x:c>
      <x:c r="U49" t="str">
        <x:f>IF(R49="","",IF(Q49=0,$F$2,IF(R49=0,$G$7,IF(R49&lt;Q49,INDEX($G$7:$G$106,R49+1),$F$2))))</x:f>
      </x:c>
      <x:c r="V49" s="14" t="str">
        <x:f>IF(R49="","",IF(Q49=0,$H$2,IF(R49=0,$H$7,IF(R49&lt;Q49,INDEX($H$7:$H$106,R49+1),$H$2))))</x:f>
      </x:c>
      <x:c r="W49" s="188" t="str">
        <x:f>IF(R49="","",IF(U49=S49,1,MAX(0,MIN(1,(P49-S49)/(U49-S49)))))</x:f>
      </x:c>
    </x:row>
    <x:row r="50">
      <x:c r="A50" s="159" t="str">
        <x:f>IF(OR(A49="",A49&gt;=$D$2),"",A49+1)</x:f>
      </x:c>
      <x:c r="B50" s="162" t="str">
        <x:f>IF(A50="","",IFERROR(SUMPRODUCT(--('Project Plan'!$A$7:$A$206&lt;&gt;""),('Project Plan'!$P$7:$P$206+('Project Plan'!$P$7:$P$206="")),--('Project Plan'!$F$7:$F$206&lt;&gt;""),--('Project Plan'!$G$7:$G$206&lt;&gt;""),((A50&gt;='Project Plan'!$G$7:$G$206)+((A50&gt;='Project Plan'!$F$7:$F$206)*(A50&lt;'Project Plan'!$G$7:$G$206)*(A50-'Project Plan'!$F$7:$F$206+1)/('Project Plan'!$G$7:$G$206-'Project Plan'!$F$7:$F$206+1))))/SUMPRODUCT(--('Project Plan'!$A$7:$A$206&lt;&gt;""),('Project Plan'!$P$7:$P$206+('Project Plan'!$P$7:$P$206=""))),0))</x:f>
      </x:c>
      <x:c r="C50" s="162" t="str">
        <x:f>IF(A50="","",IF(A50&gt;$F$2,"",IF(A50=$F$2,$H$2,IFERROR(LOOKUP(2,1/(($G$7:$G$106&lt;&gt;"")*($G$7:$G$106&lt;=A50)),$H$7:$H$106),""))))</x:f>
      </x:c>
      <x:c r="D50" s="162" t="str">
        <x:f>IF(C50="","",C50-B50)</x:f>
      </x:c>
      <x:c r="E50" s="163" t="str">
        <x:f>IF(D50="","",IF(D50&gt;=0,"On / Ahead",IF(D50&gt;=-0.05,"Watch","Behind")))</x:f>
      </x:c>
      <x:c r="G50" s="167"/>
      <x:c r="H50" s="168"/>
      <x:c r="I50" s="170"/>
      <x:c r="J50"/>
      <x:c r="K50"/>
      <x:c r="L50"/>
      <x:c r="M50" t="str">
        <x:f>IF(A50="","",TEXT(A50,"mmm d"))</x:f>
      </x:c>
      <x:c r="N50" s="14" t="e">
        <x:f>IF(B50="",NA(),B50)</x:f>
        <x:v>#N/A</x:v>
      </x:c>
      <x:c r="O50" s="14" t="e">
        <x:f>IF(OR(P50="",$B$2="",$F$2="",P50&lt;$B$2,P50&gt;$F$2),NA(),IF(Q50=0,IF($F$2=$B$2,$H$2,MAX(0,MIN(1,$H$2*(3*MAX(0,MIN(1,(P50-$B$2)/($F$2-$B$2)))^2-2*MAX(0,MIN(1,(P50-$B$2)/($F$2-$B$2)))^3)))),MAX(0,MIN(1,T50+(V50-T50)*(3*W50^2-2*W50^3)))))</x:f>
        <x:v>#N/A</x:v>
      </x:c>
      <x:c r="P50" s="189" t="str">
        <x:f>A50</x:f>
      </x:c>
      <x:c r="Q50" t="n">
        <x:f>COUNT($G$7:$G$106)</x:f>
        <x:v>0</x:v>
      </x:c>
      <x:c r="R50" t="str">
        <x:f>IF(OR(P50="",$B$2="",$F$2="",P50&lt;$B$2,P50&gt;$F$2),"",IF(Q50=0,0,IF(P50&lt;$G$7,0,IF(P50&gt;=INDEX($G$7:$G$106,Q50),Q50,MATCH(P50,$G$7:$G$106,1)))))</x:f>
      </x:c>
      <x:c r="S50" t="str">
        <x:f>IF(R50="","",IF(R50=0,$B$2,INDEX($G$7:$G$106,R50)))</x:f>
      </x:c>
      <x:c r="T50" s="14" t="str">
        <x:f>IF(R50="","",IF(R50=0,0,INDEX($H$7:$H$106,R50)))</x:f>
      </x:c>
      <x:c r="U50" t="str">
        <x:f>IF(R50="","",IF(Q50=0,$F$2,IF(R50=0,$G$7,IF(R50&lt;Q50,INDEX($G$7:$G$106,R50+1),$F$2))))</x:f>
      </x:c>
      <x:c r="V50" s="14" t="str">
        <x:f>IF(R50="","",IF(Q50=0,$H$2,IF(R50=0,$H$7,IF(R50&lt;Q50,INDEX($H$7:$H$106,R50+1),$H$2))))</x:f>
      </x:c>
      <x:c r="W50" s="188" t="str">
        <x:f>IF(R50="","",IF(U50=S50,1,MAX(0,MIN(1,(P50-S50)/(U50-S50)))))</x:f>
      </x:c>
    </x:row>
    <x:row r="51">
      <x:c r="A51" s="159" t="str">
        <x:f>IF(OR(A50="",A50&gt;=$D$2),"",A50+1)</x:f>
      </x:c>
      <x:c r="B51" s="162" t="str">
        <x:f>IF(A51="","",IFERROR(SUMPRODUCT(--('Project Plan'!$A$7:$A$206&lt;&gt;""),('Project Plan'!$P$7:$P$206+('Project Plan'!$P$7:$P$206="")),--('Project Plan'!$F$7:$F$206&lt;&gt;""),--('Project Plan'!$G$7:$G$206&lt;&gt;""),((A51&gt;='Project Plan'!$G$7:$G$206)+((A51&gt;='Project Plan'!$F$7:$F$206)*(A51&lt;'Project Plan'!$G$7:$G$206)*(A51-'Project Plan'!$F$7:$F$206+1)/('Project Plan'!$G$7:$G$206-'Project Plan'!$F$7:$F$206+1))))/SUMPRODUCT(--('Project Plan'!$A$7:$A$206&lt;&gt;""),('Project Plan'!$P$7:$P$206+('Project Plan'!$P$7:$P$206=""))),0))</x:f>
      </x:c>
      <x:c r="C51" s="162" t="str">
        <x:f>IF(A51="","",IF(A51&gt;$F$2,"",IF(A51=$F$2,$H$2,IFERROR(LOOKUP(2,1/(($G$7:$G$106&lt;&gt;"")*($G$7:$G$106&lt;=A51)),$H$7:$H$106),""))))</x:f>
      </x:c>
      <x:c r="D51" s="162" t="str">
        <x:f>IF(C51="","",C51-B51)</x:f>
      </x:c>
      <x:c r="E51" s="163" t="str">
        <x:f>IF(D51="","",IF(D51&gt;=0,"On / Ahead",IF(D51&gt;=-0.05,"Watch","Behind")))</x:f>
      </x:c>
      <x:c r="G51" s="167"/>
      <x:c r="H51" s="168"/>
      <x:c r="I51" s="170"/>
      <x:c r="J51"/>
      <x:c r="K51"/>
      <x:c r="L51"/>
      <x:c r="M51" t="str">
        <x:f>IF(A51="","",TEXT(A51,"mmm d"))</x:f>
      </x:c>
      <x:c r="N51" s="14" t="e">
        <x:f>IF(B51="",NA(),B51)</x:f>
        <x:v>#N/A</x:v>
      </x:c>
      <x:c r="O51" s="14" t="e">
        <x:f>IF(OR(P51="",$B$2="",$F$2="",P51&lt;$B$2,P51&gt;$F$2),NA(),IF(Q51=0,IF($F$2=$B$2,$H$2,MAX(0,MIN(1,$H$2*(3*MAX(0,MIN(1,(P51-$B$2)/($F$2-$B$2)))^2-2*MAX(0,MIN(1,(P51-$B$2)/($F$2-$B$2)))^3)))),MAX(0,MIN(1,T51+(V51-T51)*(3*W51^2-2*W51^3)))))</x:f>
        <x:v>#N/A</x:v>
      </x:c>
      <x:c r="P51" s="189" t="str">
        <x:f>A51</x:f>
      </x:c>
      <x:c r="Q51" t="n">
        <x:f>COUNT($G$7:$G$106)</x:f>
        <x:v>0</x:v>
      </x:c>
      <x:c r="R51" t="str">
        <x:f>IF(OR(P51="",$B$2="",$F$2="",P51&lt;$B$2,P51&gt;$F$2),"",IF(Q51=0,0,IF(P51&lt;$G$7,0,IF(P51&gt;=INDEX($G$7:$G$106,Q51),Q51,MATCH(P51,$G$7:$G$106,1)))))</x:f>
      </x:c>
      <x:c r="S51" t="str">
        <x:f>IF(R51="","",IF(R51=0,$B$2,INDEX($G$7:$G$106,R51)))</x:f>
      </x:c>
      <x:c r="T51" s="14" t="str">
        <x:f>IF(R51="","",IF(R51=0,0,INDEX($H$7:$H$106,R51)))</x:f>
      </x:c>
      <x:c r="U51" t="str">
        <x:f>IF(R51="","",IF(Q51=0,$F$2,IF(R51=0,$G$7,IF(R51&lt;Q51,INDEX($G$7:$G$106,R51+1),$F$2))))</x:f>
      </x:c>
      <x:c r="V51" s="14" t="str">
        <x:f>IF(R51="","",IF(Q51=0,$H$2,IF(R51=0,$H$7,IF(R51&lt;Q51,INDEX($H$7:$H$106,R51+1),$H$2))))</x:f>
      </x:c>
      <x:c r="W51" s="188" t="str">
        <x:f>IF(R51="","",IF(U51=S51,1,MAX(0,MIN(1,(P51-S51)/(U51-S51)))))</x:f>
      </x:c>
    </x:row>
    <x:row r="52">
      <x:c r="A52" s="159" t="str">
        <x:f>IF(OR(A51="",A51&gt;=$D$2),"",A51+1)</x:f>
      </x:c>
      <x:c r="B52" s="162" t="str">
        <x:f>IF(A52="","",IFERROR(SUMPRODUCT(--('Project Plan'!$A$7:$A$206&lt;&gt;""),('Project Plan'!$P$7:$P$206+('Project Plan'!$P$7:$P$206="")),--('Project Plan'!$F$7:$F$206&lt;&gt;""),--('Project Plan'!$G$7:$G$206&lt;&gt;""),((A52&gt;='Project Plan'!$G$7:$G$206)+((A52&gt;='Project Plan'!$F$7:$F$206)*(A52&lt;'Project Plan'!$G$7:$G$206)*(A52-'Project Plan'!$F$7:$F$206+1)/('Project Plan'!$G$7:$G$206-'Project Plan'!$F$7:$F$206+1))))/SUMPRODUCT(--('Project Plan'!$A$7:$A$206&lt;&gt;""),('Project Plan'!$P$7:$P$206+('Project Plan'!$P$7:$P$206=""))),0))</x:f>
      </x:c>
      <x:c r="C52" s="162" t="str">
        <x:f>IF(A52="","",IF(A52&gt;$F$2,"",IF(A52=$F$2,$H$2,IFERROR(LOOKUP(2,1/(($G$7:$G$106&lt;&gt;"")*($G$7:$G$106&lt;=A52)),$H$7:$H$106),""))))</x:f>
      </x:c>
      <x:c r="D52" s="162" t="str">
        <x:f>IF(C52="","",C52-B52)</x:f>
      </x:c>
      <x:c r="E52" s="163" t="str">
        <x:f>IF(D52="","",IF(D52&gt;=0,"On / Ahead",IF(D52&gt;=-0.05,"Watch","Behind")))</x:f>
      </x:c>
      <x:c r="G52" s="167"/>
      <x:c r="H52" s="168"/>
      <x:c r="I52" s="170"/>
      <x:c r="J52"/>
      <x:c r="K52"/>
      <x:c r="L52"/>
      <x:c r="M52" t="str">
        <x:f>IF(A52="","",TEXT(A52,"mmm d"))</x:f>
      </x:c>
      <x:c r="N52" s="14" t="e">
        <x:f>IF(B52="",NA(),B52)</x:f>
        <x:v>#N/A</x:v>
      </x:c>
      <x:c r="O52" s="14" t="e">
        <x:f>IF(OR(P52="",$B$2="",$F$2="",P52&lt;$B$2,P52&gt;$F$2),NA(),IF(Q52=0,IF($F$2=$B$2,$H$2,MAX(0,MIN(1,$H$2*(3*MAX(0,MIN(1,(P52-$B$2)/($F$2-$B$2)))^2-2*MAX(0,MIN(1,(P52-$B$2)/($F$2-$B$2)))^3)))),MAX(0,MIN(1,T52+(V52-T52)*(3*W52^2-2*W52^3)))))</x:f>
        <x:v>#N/A</x:v>
      </x:c>
      <x:c r="P52" s="189" t="str">
        <x:f>A52</x:f>
      </x:c>
      <x:c r="Q52" t="n">
        <x:f>COUNT($G$7:$G$106)</x:f>
        <x:v>0</x:v>
      </x:c>
      <x:c r="R52" t="str">
        <x:f>IF(OR(P52="",$B$2="",$F$2="",P52&lt;$B$2,P52&gt;$F$2),"",IF(Q52=0,0,IF(P52&lt;$G$7,0,IF(P52&gt;=INDEX($G$7:$G$106,Q52),Q52,MATCH(P52,$G$7:$G$106,1)))))</x:f>
      </x:c>
      <x:c r="S52" t="str">
        <x:f>IF(R52="","",IF(R52=0,$B$2,INDEX($G$7:$G$106,R52)))</x:f>
      </x:c>
      <x:c r="T52" s="14" t="str">
        <x:f>IF(R52="","",IF(R52=0,0,INDEX($H$7:$H$106,R52)))</x:f>
      </x:c>
      <x:c r="U52" t="str">
        <x:f>IF(R52="","",IF(Q52=0,$F$2,IF(R52=0,$G$7,IF(R52&lt;Q52,INDEX($G$7:$G$106,R52+1),$F$2))))</x:f>
      </x:c>
      <x:c r="V52" s="14" t="str">
        <x:f>IF(R52="","",IF(Q52=0,$H$2,IF(R52=0,$H$7,IF(R52&lt;Q52,INDEX($H$7:$H$106,R52+1),$H$2))))</x:f>
      </x:c>
      <x:c r="W52" s="188" t="str">
        <x:f>IF(R52="","",IF(U52=S52,1,MAX(0,MIN(1,(P52-S52)/(U52-S52)))))</x:f>
      </x:c>
    </x:row>
    <x:row r="53">
      <x:c r="A53" s="159" t="str">
        <x:f>IF(OR(A52="",A52&gt;=$D$2),"",A52+1)</x:f>
      </x:c>
      <x:c r="B53" s="162" t="str">
        <x:f>IF(A53="","",IFERROR(SUMPRODUCT(--('Project Plan'!$A$7:$A$206&lt;&gt;""),('Project Plan'!$P$7:$P$206+('Project Plan'!$P$7:$P$206="")),--('Project Plan'!$F$7:$F$206&lt;&gt;""),--('Project Plan'!$G$7:$G$206&lt;&gt;""),((A53&gt;='Project Plan'!$G$7:$G$206)+((A53&gt;='Project Plan'!$F$7:$F$206)*(A53&lt;'Project Plan'!$G$7:$G$206)*(A53-'Project Plan'!$F$7:$F$206+1)/('Project Plan'!$G$7:$G$206-'Project Plan'!$F$7:$F$206+1))))/SUMPRODUCT(--('Project Plan'!$A$7:$A$206&lt;&gt;""),('Project Plan'!$P$7:$P$206+('Project Plan'!$P$7:$P$206=""))),0))</x:f>
      </x:c>
      <x:c r="C53" s="162" t="str">
        <x:f>IF(A53="","",IF(A53&gt;$F$2,"",IF(A53=$F$2,$H$2,IFERROR(LOOKUP(2,1/(($G$7:$G$106&lt;&gt;"")*($G$7:$G$106&lt;=A53)),$H$7:$H$106),""))))</x:f>
      </x:c>
      <x:c r="D53" s="162" t="str">
        <x:f>IF(C53="","",C53-B53)</x:f>
      </x:c>
      <x:c r="E53" s="163" t="str">
        <x:f>IF(D53="","",IF(D53&gt;=0,"On / Ahead",IF(D53&gt;=-0.05,"Watch","Behind")))</x:f>
      </x:c>
      <x:c r="G53" s="167"/>
      <x:c r="H53" s="168"/>
      <x:c r="I53" s="170"/>
      <x:c r="J53"/>
      <x:c r="K53"/>
      <x:c r="L53"/>
      <x:c r="M53" t="str">
        <x:f>IF(A53="","",TEXT(A53,"mmm d"))</x:f>
      </x:c>
      <x:c r="N53" s="14" t="e">
        <x:f>IF(B53="",NA(),B53)</x:f>
        <x:v>#N/A</x:v>
      </x:c>
      <x:c r="O53" s="14" t="e">
        <x:f>IF(OR(P53="",$B$2="",$F$2="",P53&lt;$B$2,P53&gt;$F$2),NA(),IF(Q53=0,IF($F$2=$B$2,$H$2,MAX(0,MIN(1,$H$2*(3*MAX(0,MIN(1,(P53-$B$2)/($F$2-$B$2)))^2-2*MAX(0,MIN(1,(P53-$B$2)/($F$2-$B$2)))^3)))),MAX(0,MIN(1,T53+(V53-T53)*(3*W53^2-2*W53^3)))))</x:f>
        <x:v>#N/A</x:v>
      </x:c>
      <x:c r="P53" s="189" t="str">
        <x:f>A53</x:f>
      </x:c>
      <x:c r="Q53" t="n">
        <x:f>COUNT($G$7:$G$106)</x:f>
        <x:v>0</x:v>
      </x:c>
      <x:c r="R53" t="str">
        <x:f>IF(OR(P53="",$B$2="",$F$2="",P53&lt;$B$2,P53&gt;$F$2),"",IF(Q53=0,0,IF(P53&lt;$G$7,0,IF(P53&gt;=INDEX($G$7:$G$106,Q53),Q53,MATCH(P53,$G$7:$G$106,1)))))</x:f>
      </x:c>
      <x:c r="S53" t="str">
        <x:f>IF(R53="","",IF(R53=0,$B$2,INDEX($G$7:$G$106,R53)))</x:f>
      </x:c>
      <x:c r="T53" s="14" t="str">
        <x:f>IF(R53="","",IF(R53=0,0,INDEX($H$7:$H$106,R53)))</x:f>
      </x:c>
      <x:c r="U53" t="str">
        <x:f>IF(R53="","",IF(Q53=0,$F$2,IF(R53=0,$G$7,IF(R53&lt;Q53,INDEX($G$7:$G$106,R53+1),$F$2))))</x:f>
      </x:c>
      <x:c r="V53" s="14" t="str">
        <x:f>IF(R53="","",IF(Q53=0,$H$2,IF(R53=0,$H$7,IF(R53&lt;Q53,INDEX($H$7:$H$106,R53+1),$H$2))))</x:f>
      </x:c>
      <x:c r="W53" s="188" t="str">
        <x:f>IF(R53="","",IF(U53=S53,1,MAX(0,MIN(1,(P53-S53)/(U53-S53)))))</x:f>
      </x:c>
    </x:row>
    <x:row r="54">
      <x:c r="A54" s="159" t="str">
        <x:f>IF(OR(A53="",A53&gt;=$D$2),"",A53+1)</x:f>
      </x:c>
      <x:c r="B54" s="162" t="str">
        <x:f>IF(A54="","",IFERROR(SUMPRODUCT(--('Project Plan'!$A$7:$A$206&lt;&gt;""),('Project Plan'!$P$7:$P$206+('Project Plan'!$P$7:$P$206="")),--('Project Plan'!$F$7:$F$206&lt;&gt;""),--('Project Plan'!$G$7:$G$206&lt;&gt;""),((A54&gt;='Project Plan'!$G$7:$G$206)+((A54&gt;='Project Plan'!$F$7:$F$206)*(A54&lt;'Project Plan'!$G$7:$G$206)*(A54-'Project Plan'!$F$7:$F$206+1)/('Project Plan'!$G$7:$G$206-'Project Plan'!$F$7:$F$206+1))))/SUMPRODUCT(--('Project Plan'!$A$7:$A$206&lt;&gt;""),('Project Plan'!$P$7:$P$206+('Project Plan'!$P$7:$P$206=""))),0))</x:f>
      </x:c>
      <x:c r="C54" s="162" t="str">
        <x:f>IF(A54="","",IF(A54&gt;$F$2,"",IF(A54=$F$2,$H$2,IFERROR(LOOKUP(2,1/(($G$7:$G$106&lt;&gt;"")*($G$7:$G$106&lt;=A54)),$H$7:$H$106),""))))</x:f>
      </x:c>
      <x:c r="D54" s="162" t="str">
        <x:f>IF(C54="","",C54-B54)</x:f>
      </x:c>
      <x:c r="E54" s="163" t="str">
        <x:f>IF(D54="","",IF(D54&gt;=0,"On / Ahead",IF(D54&gt;=-0.05,"Watch","Behind")))</x:f>
      </x:c>
      <x:c r="G54" s="167"/>
      <x:c r="H54" s="168"/>
      <x:c r="I54" s="170"/>
      <x:c r="J54"/>
      <x:c r="K54"/>
      <x:c r="L54"/>
      <x:c r="M54" t="str">
        <x:f>IF(A54="","",TEXT(A54,"mmm d"))</x:f>
      </x:c>
      <x:c r="N54" s="14" t="e">
        <x:f>IF(B54="",NA(),B54)</x:f>
        <x:v>#N/A</x:v>
      </x:c>
      <x:c r="O54" s="14" t="e">
        <x:f>IF(OR(P54="",$B$2="",$F$2="",P54&lt;$B$2,P54&gt;$F$2),NA(),IF(Q54=0,IF($F$2=$B$2,$H$2,MAX(0,MIN(1,$H$2*(3*MAX(0,MIN(1,(P54-$B$2)/($F$2-$B$2)))^2-2*MAX(0,MIN(1,(P54-$B$2)/($F$2-$B$2)))^3)))),MAX(0,MIN(1,T54+(V54-T54)*(3*W54^2-2*W54^3)))))</x:f>
        <x:v>#N/A</x:v>
      </x:c>
      <x:c r="P54" s="189" t="str">
        <x:f>A54</x:f>
      </x:c>
      <x:c r="Q54" t="n">
        <x:f>COUNT($G$7:$G$106)</x:f>
        <x:v>0</x:v>
      </x:c>
      <x:c r="R54" t="str">
        <x:f>IF(OR(P54="",$B$2="",$F$2="",P54&lt;$B$2,P54&gt;$F$2),"",IF(Q54=0,0,IF(P54&lt;$G$7,0,IF(P54&gt;=INDEX($G$7:$G$106,Q54),Q54,MATCH(P54,$G$7:$G$106,1)))))</x:f>
      </x:c>
      <x:c r="S54" t="str">
        <x:f>IF(R54="","",IF(R54=0,$B$2,INDEX($G$7:$G$106,R54)))</x:f>
      </x:c>
      <x:c r="T54" s="14" t="str">
        <x:f>IF(R54="","",IF(R54=0,0,INDEX($H$7:$H$106,R54)))</x:f>
      </x:c>
      <x:c r="U54" t="str">
        <x:f>IF(R54="","",IF(Q54=0,$F$2,IF(R54=0,$G$7,IF(R54&lt;Q54,INDEX($G$7:$G$106,R54+1),$F$2))))</x:f>
      </x:c>
      <x:c r="V54" s="14" t="str">
        <x:f>IF(R54="","",IF(Q54=0,$H$2,IF(R54=0,$H$7,IF(R54&lt;Q54,INDEX($H$7:$H$106,R54+1),$H$2))))</x:f>
      </x:c>
      <x:c r="W54" s="188" t="str">
        <x:f>IF(R54="","",IF(U54=S54,1,MAX(0,MIN(1,(P54-S54)/(U54-S54)))))</x:f>
      </x:c>
    </x:row>
    <x:row r="55">
      <x:c r="A55" s="159" t="str">
        <x:f>IF(OR(A54="",A54&gt;=$D$2),"",A54+1)</x:f>
      </x:c>
      <x:c r="B55" s="162" t="str">
        <x:f>IF(A55="","",IFERROR(SUMPRODUCT(--('Project Plan'!$A$7:$A$206&lt;&gt;""),('Project Plan'!$P$7:$P$206+('Project Plan'!$P$7:$P$206="")),--('Project Plan'!$F$7:$F$206&lt;&gt;""),--('Project Plan'!$G$7:$G$206&lt;&gt;""),((A55&gt;='Project Plan'!$G$7:$G$206)+((A55&gt;='Project Plan'!$F$7:$F$206)*(A55&lt;'Project Plan'!$G$7:$G$206)*(A55-'Project Plan'!$F$7:$F$206+1)/('Project Plan'!$G$7:$G$206-'Project Plan'!$F$7:$F$206+1))))/SUMPRODUCT(--('Project Plan'!$A$7:$A$206&lt;&gt;""),('Project Plan'!$P$7:$P$206+('Project Plan'!$P$7:$P$206=""))),0))</x:f>
      </x:c>
      <x:c r="C55" s="162" t="str">
        <x:f>IF(A55="","",IF(A55&gt;$F$2,"",IF(A55=$F$2,$H$2,IFERROR(LOOKUP(2,1/(($G$7:$G$106&lt;&gt;"")*($G$7:$G$106&lt;=A55)),$H$7:$H$106),""))))</x:f>
      </x:c>
      <x:c r="D55" s="162" t="str">
        <x:f>IF(C55="","",C55-B55)</x:f>
      </x:c>
      <x:c r="E55" s="163" t="str">
        <x:f>IF(D55="","",IF(D55&gt;=0,"On / Ahead",IF(D55&gt;=-0.05,"Watch","Behind")))</x:f>
      </x:c>
      <x:c r="G55" s="167"/>
      <x:c r="H55" s="168"/>
      <x:c r="I55" s="170"/>
      <x:c r="J55"/>
      <x:c r="K55"/>
      <x:c r="L55"/>
      <x:c r="M55" t="str">
        <x:f>IF(A55="","",TEXT(A55,"mmm d"))</x:f>
      </x:c>
      <x:c r="N55" s="14" t="e">
        <x:f>IF(B55="",NA(),B55)</x:f>
        <x:v>#N/A</x:v>
      </x:c>
      <x:c r="O55" s="14" t="e">
        <x:f>IF(OR(P55="",$B$2="",$F$2="",P55&lt;$B$2,P55&gt;$F$2),NA(),IF(Q55=0,IF($F$2=$B$2,$H$2,MAX(0,MIN(1,$H$2*(3*MAX(0,MIN(1,(P55-$B$2)/($F$2-$B$2)))^2-2*MAX(0,MIN(1,(P55-$B$2)/($F$2-$B$2)))^3)))),MAX(0,MIN(1,T55+(V55-T55)*(3*W55^2-2*W55^3)))))</x:f>
        <x:v>#N/A</x:v>
      </x:c>
      <x:c r="P55" s="189" t="str">
        <x:f>A55</x:f>
      </x:c>
      <x:c r="Q55" t="n">
        <x:f>COUNT($G$7:$G$106)</x:f>
        <x:v>0</x:v>
      </x:c>
      <x:c r="R55" t="str">
        <x:f>IF(OR(P55="",$B$2="",$F$2="",P55&lt;$B$2,P55&gt;$F$2),"",IF(Q55=0,0,IF(P55&lt;$G$7,0,IF(P55&gt;=INDEX($G$7:$G$106,Q55),Q55,MATCH(P55,$G$7:$G$106,1)))))</x:f>
      </x:c>
      <x:c r="S55" t="str">
        <x:f>IF(R55="","",IF(R55=0,$B$2,INDEX($G$7:$G$106,R55)))</x:f>
      </x:c>
      <x:c r="T55" s="14" t="str">
        <x:f>IF(R55="","",IF(R55=0,0,INDEX($H$7:$H$106,R55)))</x:f>
      </x:c>
      <x:c r="U55" t="str">
        <x:f>IF(R55="","",IF(Q55=0,$F$2,IF(R55=0,$G$7,IF(R55&lt;Q55,INDEX($G$7:$G$106,R55+1),$F$2))))</x:f>
      </x:c>
      <x:c r="V55" s="14" t="str">
        <x:f>IF(R55="","",IF(Q55=0,$H$2,IF(R55=0,$H$7,IF(R55&lt;Q55,INDEX($H$7:$H$106,R55+1),$H$2))))</x:f>
      </x:c>
      <x:c r="W55" s="188" t="str">
        <x:f>IF(R55="","",IF(U55=S55,1,MAX(0,MIN(1,(P55-S55)/(U55-S55)))))</x:f>
      </x:c>
    </x:row>
    <x:row r="56">
      <x:c r="A56" s="159" t="str">
        <x:f>IF(OR(A55="",A55&gt;=$D$2),"",A55+1)</x:f>
      </x:c>
      <x:c r="B56" s="162" t="str">
        <x:f>IF(A56="","",IFERROR(SUMPRODUCT(--('Project Plan'!$A$7:$A$206&lt;&gt;""),('Project Plan'!$P$7:$P$206+('Project Plan'!$P$7:$P$206="")),--('Project Plan'!$F$7:$F$206&lt;&gt;""),--('Project Plan'!$G$7:$G$206&lt;&gt;""),((A56&gt;='Project Plan'!$G$7:$G$206)+((A56&gt;='Project Plan'!$F$7:$F$206)*(A56&lt;'Project Plan'!$G$7:$G$206)*(A56-'Project Plan'!$F$7:$F$206+1)/('Project Plan'!$G$7:$G$206-'Project Plan'!$F$7:$F$206+1))))/SUMPRODUCT(--('Project Plan'!$A$7:$A$206&lt;&gt;""),('Project Plan'!$P$7:$P$206+('Project Plan'!$P$7:$P$206=""))),0))</x:f>
      </x:c>
      <x:c r="C56" s="162" t="str">
        <x:f>IF(A56="","",IF(A56&gt;$F$2,"",IF(A56=$F$2,$H$2,IFERROR(LOOKUP(2,1/(($G$7:$G$106&lt;&gt;"")*($G$7:$G$106&lt;=A56)),$H$7:$H$106),""))))</x:f>
      </x:c>
      <x:c r="D56" s="162" t="str">
        <x:f>IF(C56="","",C56-B56)</x:f>
      </x:c>
      <x:c r="E56" s="163" t="str">
        <x:f>IF(D56="","",IF(D56&gt;=0,"On / Ahead",IF(D56&gt;=-0.05,"Watch","Behind")))</x:f>
      </x:c>
      <x:c r="G56" s="167"/>
      <x:c r="H56" s="168"/>
      <x:c r="I56" s="170"/>
      <x:c r="J56"/>
      <x:c r="K56"/>
      <x:c r="L56"/>
      <x:c r="M56" t="str">
        <x:f>IF(A56="","",TEXT(A56,"mmm d"))</x:f>
      </x:c>
      <x:c r="N56" s="14" t="e">
        <x:f>IF(B56="",NA(),B56)</x:f>
        <x:v>#N/A</x:v>
      </x:c>
      <x:c r="O56" s="14" t="e">
        <x:f>IF(OR(P56="",$B$2="",$F$2="",P56&lt;$B$2,P56&gt;$F$2),NA(),IF(Q56=0,IF($F$2=$B$2,$H$2,MAX(0,MIN(1,$H$2*(3*MAX(0,MIN(1,(P56-$B$2)/($F$2-$B$2)))^2-2*MAX(0,MIN(1,(P56-$B$2)/($F$2-$B$2)))^3)))),MAX(0,MIN(1,T56+(V56-T56)*(3*W56^2-2*W56^3)))))</x:f>
        <x:v>#N/A</x:v>
      </x:c>
      <x:c r="P56" s="189" t="str">
        <x:f>A56</x:f>
      </x:c>
      <x:c r="Q56" t="n">
        <x:f>COUNT($G$7:$G$106)</x:f>
        <x:v>0</x:v>
      </x:c>
      <x:c r="R56" t="str">
        <x:f>IF(OR(P56="",$B$2="",$F$2="",P56&lt;$B$2,P56&gt;$F$2),"",IF(Q56=0,0,IF(P56&lt;$G$7,0,IF(P56&gt;=INDEX($G$7:$G$106,Q56),Q56,MATCH(P56,$G$7:$G$106,1)))))</x:f>
      </x:c>
      <x:c r="S56" t="str">
        <x:f>IF(R56="","",IF(R56=0,$B$2,INDEX($G$7:$G$106,R56)))</x:f>
      </x:c>
      <x:c r="T56" s="14" t="str">
        <x:f>IF(R56="","",IF(R56=0,0,INDEX($H$7:$H$106,R56)))</x:f>
      </x:c>
      <x:c r="U56" t="str">
        <x:f>IF(R56="","",IF(Q56=0,$F$2,IF(R56=0,$G$7,IF(R56&lt;Q56,INDEX($G$7:$G$106,R56+1),$F$2))))</x:f>
      </x:c>
      <x:c r="V56" s="14" t="str">
        <x:f>IF(R56="","",IF(Q56=0,$H$2,IF(R56=0,$H$7,IF(R56&lt;Q56,INDEX($H$7:$H$106,R56+1),$H$2))))</x:f>
      </x:c>
      <x:c r="W56" s="188" t="str">
        <x:f>IF(R56="","",IF(U56=S56,1,MAX(0,MIN(1,(P56-S56)/(U56-S56)))))</x:f>
      </x:c>
    </x:row>
    <x:row r="57">
      <x:c r="A57" s="159" t="str">
        <x:f>IF(OR(A56="",A56&gt;=$D$2),"",A56+1)</x:f>
      </x:c>
      <x:c r="B57" s="162" t="str">
        <x:f>IF(A57="","",IFERROR(SUMPRODUCT(--('Project Plan'!$A$7:$A$206&lt;&gt;""),('Project Plan'!$P$7:$P$206+('Project Plan'!$P$7:$P$206="")),--('Project Plan'!$F$7:$F$206&lt;&gt;""),--('Project Plan'!$G$7:$G$206&lt;&gt;""),((A57&gt;='Project Plan'!$G$7:$G$206)+((A57&gt;='Project Plan'!$F$7:$F$206)*(A57&lt;'Project Plan'!$G$7:$G$206)*(A57-'Project Plan'!$F$7:$F$206+1)/('Project Plan'!$G$7:$G$206-'Project Plan'!$F$7:$F$206+1))))/SUMPRODUCT(--('Project Plan'!$A$7:$A$206&lt;&gt;""),('Project Plan'!$P$7:$P$206+('Project Plan'!$P$7:$P$206=""))),0))</x:f>
      </x:c>
      <x:c r="C57" s="162" t="str">
        <x:f>IF(A57="","",IF(A57&gt;$F$2,"",IF(A57=$F$2,$H$2,IFERROR(LOOKUP(2,1/(($G$7:$G$106&lt;&gt;"")*($G$7:$G$106&lt;=A57)),$H$7:$H$106),""))))</x:f>
      </x:c>
      <x:c r="D57" s="162" t="str">
        <x:f>IF(C57="","",C57-B57)</x:f>
      </x:c>
      <x:c r="E57" s="163" t="str">
        <x:f>IF(D57="","",IF(D57&gt;=0,"On / Ahead",IF(D57&gt;=-0.05,"Watch","Behind")))</x:f>
      </x:c>
      <x:c r="G57" s="167"/>
      <x:c r="H57" s="168"/>
      <x:c r="I57" s="170"/>
      <x:c r="J57"/>
      <x:c r="K57"/>
      <x:c r="L57"/>
      <x:c r="M57" t="str">
        <x:f>IF(A57="","",TEXT(A57,"mmm d"))</x:f>
      </x:c>
      <x:c r="N57" s="14" t="e">
        <x:f>IF(B57="",NA(),B57)</x:f>
        <x:v>#N/A</x:v>
      </x:c>
      <x:c r="O57" s="14" t="e">
        <x:f>IF(OR(P57="",$B$2="",$F$2="",P57&lt;$B$2,P57&gt;$F$2),NA(),IF(Q57=0,IF($F$2=$B$2,$H$2,MAX(0,MIN(1,$H$2*(3*MAX(0,MIN(1,(P57-$B$2)/($F$2-$B$2)))^2-2*MAX(0,MIN(1,(P57-$B$2)/($F$2-$B$2)))^3)))),MAX(0,MIN(1,T57+(V57-T57)*(3*W57^2-2*W57^3)))))</x:f>
        <x:v>#N/A</x:v>
      </x:c>
      <x:c r="P57" s="189" t="str">
        <x:f>A57</x:f>
      </x:c>
      <x:c r="Q57" t="n">
        <x:f>COUNT($G$7:$G$106)</x:f>
        <x:v>0</x:v>
      </x:c>
      <x:c r="R57" t="str">
        <x:f>IF(OR(P57="",$B$2="",$F$2="",P57&lt;$B$2,P57&gt;$F$2),"",IF(Q57=0,0,IF(P57&lt;$G$7,0,IF(P57&gt;=INDEX($G$7:$G$106,Q57),Q57,MATCH(P57,$G$7:$G$106,1)))))</x:f>
      </x:c>
      <x:c r="S57" t="str">
        <x:f>IF(R57="","",IF(R57=0,$B$2,INDEX($G$7:$G$106,R57)))</x:f>
      </x:c>
      <x:c r="T57" s="14" t="str">
        <x:f>IF(R57="","",IF(R57=0,0,INDEX($H$7:$H$106,R57)))</x:f>
      </x:c>
      <x:c r="U57" t="str">
        <x:f>IF(R57="","",IF(Q57=0,$F$2,IF(R57=0,$G$7,IF(R57&lt;Q57,INDEX($G$7:$G$106,R57+1),$F$2))))</x:f>
      </x:c>
      <x:c r="V57" s="14" t="str">
        <x:f>IF(R57="","",IF(Q57=0,$H$2,IF(R57=0,$H$7,IF(R57&lt;Q57,INDEX($H$7:$H$106,R57+1),$H$2))))</x:f>
      </x:c>
      <x:c r="W57" s="188" t="str">
        <x:f>IF(R57="","",IF(U57=S57,1,MAX(0,MIN(1,(P57-S57)/(U57-S57)))))</x:f>
      </x:c>
    </x:row>
    <x:row r="58">
      <x:c r="A58" s="159" t="str">
        <x:f>IF(OR(A57="",A57&gt;=$D$2),"",A57+1)</x:f>
      </x:c>
      <x:c r="B58" s="162" t="str">
        <x:f>IF(A58="","",IFERROR(SUMPRODUCT(--('Project Plan'!$A$7:$A$206&lt;&gt;""),('Project Plan'!$P$7:$P$206+('Project Plan'!$P$7:$P$206="")),--('Project Plan'!$F$7:$F$206&lt;&gt;""),--('Project Plan'!$G$7:$G$206&lt;&gt;""),((A58&gt;='Project Plan'!$G$7:$G$206)+((A58&gt;='Project Plan'!$F$7:$F$206)*(A58&lt;'Project Plan'!$G$7:$G$206)*(A58-'Project Plan'!$F$7:$F$206+1)/('Project Plan'!$G$7:$G$206-'Project Plan'!$F$7:$F$206+1))))/SUMPRODUCT(--('Project Plan'!$A$7:$A$206&lt;&gt;""),('Project Plan'!$P$7:$P$206+('Project Plan'!$P$7:$P$206=""))),0))</x:f>
      </x:c>
      <x:c r="C58" s="162" t="str">
        <x:f>IF(A58="","",IF(A58&gt;$F$2,"",IF(A58=$F$2,$H$2,IFERROR(LOOKUP(2,1/(($G$7:$G$106&lt;&gt;"")*($G$7:$G$106&lt;=A58)),$H$7:$H$106),""))))</x:f>
      </x:c>
      <x:c r="D58" s="162" t="str">
        <x:f>IF(C58="","",C58-B58)</x:f>
      </x:c>
      <x:c r="E58" s="163" t="str">
        <x:f>IF(D58="","",IF(D58&gt;=0,"On / Ahead",IF(D58&gt;=-0.05,"Watch","Behind")))</x:f>
      </x:c>
      <x:c r="G58" s="167"/>
      <x:c r="H58" s="168"/>
      <x:c r="I58" s="170"/>
      <x:c r="J58"/>
      <x:c r="K58"/>
      <x:c r="L58"/>
      <x:c r="M58" t="str">
        <x:f>IF(A58="","",TEXT(A58,"mmm d"))</x:f>
      </x:c>
      <x:c r="N58" s="14" t="e">
        <x:f>IF(B58="",NA(),B58)</x:f>
        <x:v>#N/A</x:v>
      </x:c>
      <x:c r="O58" s="14" t="e">
        <x:f>IF(OR(P58="",$B$2="",$F$2="",P58&lt;$B$2,P58&gt;$F$2),NA(),IF(Q58=0,IF($F$2=$B$2,$H$2,MAX(0,MIN(1,$H$2*(3*MAX(0,MIN(1,(P58-$B$2)/($F$2-$B$2)))^2-2*MAX(0,MIN(1,(P58-$B$2)/($F$2-$B$2)))^3)))),MAX(0,MIN(1,T58+(V58-T58)*(3*W58^2-2*W58^3)))))</x:f>
        <x:v>#N/A</x:v>
      </x:c>
      <x:c r="P58" s="189" t="str">
        <x:f>A58</x:f>
      </x:c>
      <x:c r="Q58" t="n">
        <x:f>COUNT($G$7:$G$106)</x:f>
        <x:v>0</x:v>
      </x:c>
      <x:c r="R58" t="str">
        <x:f>IF(OR(P58="",$B$2="",$F$2="",P58&lt;$B$2,P58&gt;$F$2),"",IF(Q58=0,0,IF(P58&lt;$G$7,0,IF(P58&gt;=INDEX($G$7:$G$106,Q58),Q58,MATCH(P58,$G$7:$G$106,1)))))</x:f>
      </x:c>
      <x:c r="S58" t="str">
        <x:f>IF(R58="","",IF(R58=0,$B$2,INDEX($G$7:$G$106,R58)))</x:f>
      </x:c>
      <x:c r="T58" s="14" t="str">
        <x:f>IF(R58="","",IF(R58=0,0,INDEX($H$7:$H$106,R58)))</x:f>
      </x:c>
      <x:c r="U58" t="str">
        <x:f>IF(R58="","",IF(Q58=0,$F$2,IF(R58=0,$G$7,IF(R58&lt;Q58,INDEX($G$7:$G$106,R58+1),$F$2))))</x:f>
      </x:c>
      <x:c r="V58" s="14" t="str">
        <x:f>IF(R58="","",IF(Q58=0,$H$2,IF(R58=0,$H$7,IF(R58&lt;Q58,INDEX($H$7:$H$106,R58+1),$H$2))))</x:f>
      </x:c>
      <x:c r="W58" s="188" t="str">
        <x:f>IF(R58="","",IF(U58=S58,1,MAX(0,MIN(1,(P58-S58)/(U58-S58)))))</x:f>
      </x:c>
    </x:row>
    <x:row r="59">
      <x:c r="A59" s="159" t="str">
        <x:f>IF(OR(A58="",A58&gt;=$D$2),"",A58+1)</x:f>
      </x:c>
      <x:c r="B59" s="162" t="str">
        <x:f>IF(A59="","",IFERROR(SUMPRODUCT(--('Project Plan'!$A$7:$A$206&lt;&gt;""),('Project Plan'!$P$7:$P$206+('Project Plan'!$P$7:$P$206="")),--('Project Plan'!$F$7:$F$206&lt;&gt;""),--('Project Plan'!$G$7:$G$206&lt;&gt;""),((A59&gt;='Project Plan'!$G$7:$G$206)+((A59&gt;='Project Plan'!$F$7:$F$206)*(A59&lt;'Project Plan'!$G$7:$G$206)*(A59-'Project Plan'!$F$7:$F$206+1)/('Project Plan'!$G$7:$G$206-'Project Plan'!$F$7:$F$206+1))))/SUMPRODUCT(--('Project Plan'!$A$7:$A$206&lt;&gt;""),('Project Plan'!$P$7:$P$206+('Project Plan'!$P$7:$P$206=""))),0))</x:f>
      </x:c>
      <x:c r="C59" s="162" t="str">
        <x:f>IF(A59="","",IF(A59&gt;$F$2,"",IF(A59=$F$2,$H$2,IFERROR(LOOKUP(2,1/(($G$7:$G$106&lt;&gt;"")*($G$7:$G$106&lt;=A59)),$H$7:$H$106),""))))</x:f>
      </x:c>
      <x:c r="D59" s="162" t="str">
        <x:f>IF(C59="","",C59-B59)</x:f>
      </x:c>
      <x:c r="E59" s="163" t="str">
        <x:f>IF(D59="","",IF(D59&gt;=0,"On / Ahead",IF(D59&gt;=-0.05,"Watch","Behind")))</x:f>
      </x:c>
      <x:c r="G59" s="167"/>
      <x:c r="H59" s="168"/>
      <x:c r="I59" s="170"/>
      <x:c r="J59"/>
      <x:c r="K59"/>
      <x:c r="L59"/>
      <x:c r="M59" t="str">
        <x:f>IF(A59="","",TEXT(A59,"mmm d"))</x:f>
      </x:c>
      <x:c r="N59" s="14" t="e">
        <x:f>IF(B59="",NA(),B59)</x:f>
        <x:v>#N/A</x:v>
      </x:c>
      <x:c r="O59" s="14" t="e">
        <x:f>IF(OR(P59="",$B$2="",$F$2="",P59&lt;$B$2,P59&gt;$F$2),NA(),IF(Q59=0,IF($F$2=$B$2,$H$2,MAX(0,MIN(1,$H$2*(3*MAX(0,MIN(1,(P59-$B$2)/($F$2-$B$2)))^2-2*MAX(0,MIN(1,(P59-$B$2)/($F$2-$B$2)))^3)))),MAX(0,MIN(1,T59+(V59-T59)*(3*W59^2-2*W59^3)))))</x:f>
        <x:v>#N/A</x:v>
      </x:c>
      <x:c r="P59" s="189" t="str">
        <x:f>A59</x:f>
      </x:c>
      <x:c r="Q59" t="n">
        <x:f>COUNT($G$7:$G$106)</x:f>
        <x:v>0</x:v>
      </x:c>
      <x:c r="R59" t="str">
        <x:f>IF(OR(P59="",$B$2="",$F$2="",P59&lt;$B$2,P59&gt;$F$2),"",IF(Q59=0,0,IF(P59&lt;$G$7,0,IF(P59&gt;=INDEX($G$7:$G$106,Q59),Q59,MATCH(P59,$G$7:$G$106,1)))))</x:f>
      </x:c>
      <x:c r="S59" t="str">
        <x:f>IF(R59="","",IF(R59=0,$B$2,INDEX($G$7:$G$106,R59)))</x:f>
      </x:c>
      <x:c r="T59" s="14" t="str">
        <x:f>IF(R59="","",IF(R59=0,0,INDEX($H$7:$H$106,R59)))</x:f>
      </x:c>
      <x:c r="U59" t="str">
        <x:f>IF(R59="","",IF(Q59=0,$F$2,IF(R59=0,$G$7,IF(R59&lt;Q59,INDEX($G$7:$G$106,R59+1),$F$2))))</x:f>
      </x:c>
      <x:c r="V59" s="14" t="str">
        <x:f>IF(R59="","",IF(Q59=0,$H$2,IF(R59=0,$H$7,IF(R59&lt;Q59,INDEX($H$7:$H$106,R59+1),$H$2))))</x:f>
      </x:c>
      <x:c r="W59" s="188" t="str">
        <x:f>IF(R59="","",IF(U59=S59,1,MAX(0,MIN(1,(P59-S59)/(U59-S59)))))</x:f>
      </x:c>
    </x:row>
    <x:row r="60">
      <x:c r="A60" s="159" t="str">
        <x:f>IF(OR(A59="",A59&gt;=$D$2),"",A59+1)</x:f>
      </x:c>
      <x:c r="B60" s="162" t="str">
        <x:f>IF(A60="","",IFERROR(SUMPRODUCT(--('Project Plan'!$A$7:$A$206&lt;&gt;""),('Project Plan'!$P$7:$P$206+('Project Plan'!$P$7:$P$206="")),--('Project Plan'!$F$7:$F$206&lt;&gt;""),--('Project Plan'!$G$7:$G$206&lt;&gt;""),((A60&gt;='Project Plan'!$G$7:$G$206)+((A60&gt;='Project Plan'!$F$7:$F$206)*(A60&lt;'Project Plan'!$G$7:$G$206)*(A60-'Project Plan'!$F$7:$F$206+1)/('Project Plan'!$G$7:$G$206-'Project Plan'!$F$7:$F$206+1))))/SUMPRODUCT(--('Project Plan'!$A$7:$A$206&lt;&gt;""),('Project Plan'!$P$7:$P$206+('Project Plan'!$P$7:$P$206=""))),0))</x:f>
      </x:c>
      <x:c r="C60" s="162" t="str">
        <x:f>IF(A60="","",IF(A60&gt;$F$2,"",IF(A60=$F$2,$H$2,IFERROR(LOOKUP(2,1/(($G$7:$G$106&lt;&gt;"")*($G$7:$G$106&lt;=A60)),$H$7:$H$106),""))))</x:f>
      </x:c>
      <x:c r="D60" s="162" t="str">
        <x:f>IF(C60="","",C60-B60)</x:f>
      </x:c>
      <x:c r="E60" s="163" t="str">
        <x:f>IF(D60="","",IF(D60&gt;=0,"On / Ahead",IF(D60&gt;=-0.05,"Watch","Behind")))</x:f>
      </x:c>
      <x:c r="G60" s="167"/>
      <x:c r="H60" s="168"/>
      <x:c r="I60" s="170"/>
      <x:c r="J60"/>
      <x:c r="K60"/>
      <x:c r="L60"/>
      <x:c r="M60" t="str">
        <x:f>IF(A60="","",TEXT(A60,"mmm d"))</x:f>
      </x:c>
      <x:c r="N60" s="14" t="e">
        <x:f>IF(B60="",NA(),B60)</x:f>
        <x:v>#N/A</x:v>
      </x:c>
      <x:c r="O60" s="14" t="e">
        <x:f>IF(OR(P60="",$B$2="",$F$2="",P60&lt;$B$2,P60&gt;$F$2),NA(),IF(Q60=0,IF($F$2=$B$2,$H$2,MAX(0,MIN(1,$H$2*(3*MAX(0,MIN(1,(P60-$B$2)/($F$2-$B$2)))^2-2*MAX(0,MIN(1,(P60-$B$2)/($F$2-$B$2)))^3)))),MAX(0,MIN(1,T60+(V60-T60)*(3*W60^2-2*W60^3)))))</x:f>
        <x:v>#N/A</x:v>
      </x:c>
      <x:c r="P60" s="189" t="str">
        <x:f>A60</x:f>
      </x:c>
      <x:c r="Q60" t="n">
        <x:f>COUNT($G$7:$G$106)</x:f>
        <x:v>0</x:v>
      </x:c>
      <x:c r="R60" t="str">
        <x:f>IF(OR(P60="",$B$2="",$F$2="",P60&lt;$B$2,P60&gt;$F$2),"",IF(Q60=0,0,IF(P60&lt;$G$7,0,IF(P60&gt;=INDEX($G$7:$G$106,Q60),Q60,MATCH(P60,$G$7:$G$106,1)))))</x:f>
      </x:c>
      <x:c r="S60" t="str">
        <x:f>IF(R60="","",IF(R60=0,$B$2,INDEX($G$7:$G$106,R60)))</x:f>
      </x:c>
      <x:c r="T60" s="14" t="str">
        <x:f>IF(R60="","",IF(R60=0,0,INDEX($H$7:$H$106,R60)))</x:f>
      </x:c>
      <x:c r="U60" t="str">
        <x:f>IF(R60="","",IF(Q60=0,$F$2,IF(R60=0,$G$7,IF(R60&lt;Q60,INDEX($G$7:$G$106,R60+1),$F$2))))</x:f>
      </x:c>
      <x:c r="V60" s="14" t="str">
        <x:f>IF(R60="","",IF(Q60=0,$H$2,IF(R60=0,$H$7,IF(R60&lt;Q60,INDEX($H$7:$H$106,R60+1),$H$2))))</x:f>
      </x:c>
      <x:c r="W60" s="188" t="str">
        <x:f>IF(R60="","",IF(U60=S60,1,MAX(0,MIN(1,(P60-S60)/(U60-S60)))))</x:f>
      </x:c>
    </x:row>
    <x:row r="61">
      <x:c r="A61" s="159" t="str">
        <x:f>IF(OR(A60="",A60&gt;=$D$2),"",A60+1)</x:f>
      </x:c>
      <x:c r="B61" s="162" t="str">
        <x:f>IF(A61="","",IFERROR(SUMPRODUCT(--('Project Plan'!$A$7:$A$206&lt;&gt;""),('Project Plan'!$P$7:$P$206+('Project Plan'!$P$7:$P$206="")),--('Project Plan'!$F$7:$F$206&lt;&gt;""),--('Project Plan'!$G$7:$G$206&lt;&gt;""),((A61&gt;='Project Plan'!$G$7:$G$206)+((A61&gt;='Project Plan'!$F$7:$F$206)*(A61&lt;'Project Plan'!$G$7:$G$206)*(A61-'Project Plan'!$F$7:$F$206+1)/('Project Plan'!$G$7:$G$206-'Project Plan'!$F$7:$F$206+1))))/SUMPRODUCT(--('Project Plan'!$A$7:$A$206&lt;&gt;""),('Project Plan'!$P$7:$P$206+('Project Plan'!$P$7:$P$206=""))),0))</x:f>
      </x:c>
      <x:c r="C61" s="162" t="str">
        <x:f>IF(A61="","",IF(A61&gt;$F$2,"",IF(A61=$F$2,$H$2,IFERROR(LOOKUP(2,1/(($G$7:$G$106&lt;&gt;"")*($G$7:$G$106&lt;=A61)),$H$7:$H$106),""))))</x:f>
      </x:c>
      <x:c r="D61" s="162" t="str">
        <x:f>IF(C61="","",C61-B61)</x:f>
      </x:c>
      <x:c r="E61" s="163" t="str">
        <x:f>IF(D61="","",IF(D61&gt;=0,"On / Ahead",IF(D61&gt;=-0.05,"Watch","Behind")))</x:f>
      </x:c>
      <x:c r="G61" s="167"/>
      <x:c r="H61" s="168"/>
      <x:c r="I61" s="170"/>
      <x:c r="J61"/>
      <x:c r="K61"/>
      <x:c r="L61"/>
      <x:c r="M61" t="str">
        <x:f>IF(A61="","",TEXT(A61,"mmm d"))</x:f>
      </x:c>
      <x:c r="N61" s="14" t="e">
        <x:f>IF(B61="",NA(),B61)</x:f>
        <x:v>#N/A</x:v>
      </x:c>
      <x:c r="O61" s="14" t="e">
        <x:f>IF(OR(P61="",$B$2="",$F$2="",P61&lt;$B$2,P61&gt;$F$2),NA(),IF(Q61=0,IF($F$2=$B$2,$H$2,MAX(0,MIN(1,$H$2*(3*MAX(0,MIN(1,(P61-$B$2)/($F$2-$B$2)))^2-2*MAX(0,MIN(1,(P61-$B$2)/($F$2-$B$2)))^3)))),MAX(0,MIN(1,T61+(V61-T61)*(3*W61^2-2*W61^3)))))</x:f>
        <x:v>#N/A</x:v>
      </x:c>
      <x:c r="P61" s="189" t="str">
        <x:f>A61</x:f>
      </x:c>
      <x:c r="Q61" t="n">
        <x:f>COUNT($G$7:$G$106)</x:f>
        <x:v>0</x:v>
      </x:c>
      <x:c r="R61" t="str">
        <x:f>IF(OR(P61="",$B$2="",$F$2="",P61&lt;$B$2,P61&gt;$F$2),"",IF(Q61=0,0,IF(P61&lt;$G$7,0,IF(P61&gt;=INDEX($G$7:$G$106,Q61),Q61,MATCH(P61,$G$7:$G$106,1)))))</x:f>
      </x:c>
      <x:c r="S61" t="str">
        <x:f>IF(R61="","",IF(R61=0,$B$2,INDEX($G$7:$G$106,R61)))</x:f>
      </x:c>
      <x:c r="T61" s="14" t="str">
        <x:f>IF(R61="","",IF(R61=0,0,INDEX($H$7:$H$106,R61)))</x:f>
      </x:c>
      <x:c r="U61" t="str">
        <x:f>IF(R61="","",IF(Q61=0,$F$2,IF(R61=0,$G$7,IF(R61&lt;Q61,INDEX($G$7:$G$106,R61+1),$F$2))))</x:f>
      </x:c>
      <x:c r="V61" s="14" t="str">
        <x:f>IF(R61="","",IF(Q61=0,$H$2,IF(R61=0,$H$7,IF(R61&lt;Q61,INDEX($H$7:$H$106,R61+1),$H$2))))</x:f>
      </x:c>
      <x:c r="W61" s="188" t="str">
        <x:f>IF(R61="","",IF(U61=S61,1,MAX(0,MIN(1,(P61-S61)/(U61-S61)))))</x:f>
      </x:c>
    </x:row>
    <x:row r="62">
      <x:c r="A62" s="159" t="str">
        <x:f>IF(OR(A61="",A61&gt;=$D$2),"",A61+1)</x:f>
      </x:c>
      <x:c r="B62" s="162" t="str">
        <x:f>IF(A62="","",IFERROR(SUMPRODUCT(--('Project Plan'!$A$7:$A$206&lt;&gt;""),('Project Plan'!$P$7:$P$206+('Project Plan'!$P$7:$P$206="")),--('Project Plan'!$F$7:$F$206&lt;&gt;""),--('Project Plan'!$G$7:$G$206&lt;&gt;""),((A62&gt;='Project Plan'!$G$7:$G$206)+((A62&gt;='Project Plan'!$F$7:$F$206)*(A62&lt;'Project Plan'!$G$7:$G$206)*(A62-'Project Plan'!$F$7:$F$206+1)/('Project Plan'!$G$7:$G$206-'Project Plan'!$F$7:$F$206+1))))/SUMPRODUCT(--('Project Plan'!$A$7:$A$206&lt;&gt;""),('Project Plan'!$P$7:$P$206+('Project Plan'!$P$7:$P$206=""))),0))</x:f>
      </x:c>
      <x:c r="C62" s="162" t="str">
        <x:f>IF(A62="","",IF(A62&gt;$F$2,"",IF(A62=$F$2,$H$2,IFERROR(LOOKUP(2,1/(($G$7:$G$106&lt;&gt;"")*($G$7:$G$106&lt;=A62)),$H$7:$H$106),""))))</x:f>
      </x:c>
      <x:c r="D62" s="162" t="str">
        <x:f>IF(C62="","",C62-B62)</x:f>
      </x:c>
      <x:c r="E62" s="163" t="str">
        <x:f>IF(D62="","",IF(D62&gt;=0,"On / Ahead",IF(D62&gt;=-0.05,"Watch","Behind")))</x:f>
      </x:c>
      <x:c r="G62" s="167"/>
      <x:c r="H62" s="168"/>
      <x:c r="I62" s="170"/>
      <x:c r="J62"/>
      <x:c r="K62"/>
      <x:c r="L62"/>
      <x:c r="M62" t="str">
        <x:f>IF(A62="","",TEXT(A62,"mmm d"))</x:f>
      </x:c>
      <x:c r="N62" s="14" t="e">
        <x:f>IF(B62="",NA(),B62)</x:f>
        <x:v>#N/A</x:v>
      </x:c>
      <x:c r="O62" s="14" t="e">
        <x:f>IF(OR(P62="",$B$2="",$F$2="",P62&lt;$B$2,P62&gt;$F$2),NA(),IF(Q62=0,IF($F$2=$B$2,$H$2,MAX(0,MIN(1,$H$2*(3*MAX(0,MIN(1,(P62-$B$2)/($F$2-$B$2)))^2-2*MAX(0,MIN(1,(P62-$B$2)/($F$2-$B$2)))^3)))),MAX(0,MIN(1,T62+(V62-T62)*(3*W62^2-2*W62^3)))))</x:f>
        <x:v>#N/A</x:v>
      </x:c>
      <x:c r="P62" s="189" t="str">
        <x:f>A62</x:f>
      </x:c>
      <x:c r="Q62" t="n">
        <x:f>COUNT($G$7:$G$106)</x:f>
        <x:v>0</x:v>
      </x:c>
      <x:c r="R62" t="str">
        <x:f>IF(OR(P62="",$B$2="",$F$2="",P62&lt;$B$2,P62&gt;$F$2),"",IF(Q62=0,0,IF(P62&lt;$G$7,0,IF(P62&gt;=INDEX($G$7:$G$106,Q62),Q62,MATCH(P62,$G$7:$G$106,1)))))</x:f>
      </x:c>
      <x:c r="S62" t="str">
        <x:f>IF(R62="","",IF(R62=0,$B$2,INDEX($G$7:$G$106,R62)))</x:f>
      </x:c>
      <x:c r="T62" s="14" t="str">
        <x:f>IF(R62="","",IF(R62=0,0,INDEX($H$7:$H$106,R62)))</x:f>
      </x:c>
      <x:c r="U62" t="str">
        <x:f>IF(R62="","",IF(Q62=0,$F$2,IF(R62=0,$G$7,IF(R62&lt;Q62,INDEX($G$7:$G$106,R62+1),$F$2))))</x:f>
      </x:c>
      <x:c r="V62" s="14" t="str">
        <x:f>IF(R62="","",IF(Q62=0,$H$2,IF(R62=0,$H$7,IF(R62&lt;Q62,INDEX($H$7:$H$106,R62+1),$H$2))))</x:f>
      </x:c>
      <x:c r="W62" s="188" t="str">
        <x:f>IF(R62="","",IF(U62=S62,1,MAX(0,MIN(1,(P62-S62)/(U62-S62)))))</x:f>
      </x:c>
    </x:row>
    <x:row r="63">
      <x:c r="A63" s="159" t="str">
        <x:f>IF(OR(A62="",A62&gt;=$D$2),"",A62+1)</x:f>
      </x:c>
      <x:c r="B63" s="162" t="str">
        <x:f>IF(A63="","",IFERROR(SUMPRODUCT(--('Project Plan'!$A$7:$A$206&lt;&gt;""),('Project Plan'!$P$7:$P$206+('Project Plan'!$P$7:$P$206="")),--('Project Plan'!$F$7:$F$206&lt;&gt;""),--('Project Plan'!$G$7:$G$206&lt;&gt;""),((A63&gt;='Project Plan'!$G$7:$G$206)+((A63&gt;='Project Plan'!$F$7:$F$206)*(A63&lt;'Project Plan'!$G$7:$G$206)*(A63-'Project Plan'!$F$7:$F$206+1)/('Project Plan'!$G$7:$G$206-'Project Plan'!$F$7:$F$206+1))))/SUMPRODUCT(--('Project Plan'!$A$7:$A$206&lt;&gt;""),('Project Plan'!$P$7:$P$206+('Project Plan'!$P$7:$P$206=""))),0))</x:f>
      </x:c>
      <x:c r="C63" s="162" t="str">
        <x:f>IF(A63="","",IF(A63&gt;$F$2,"",IF(A63=$F$2,$H$2,IFERROR(LOOKUP(2,1/(($G$7:$G$106&lt;&gt;"")*($G$7:$G$106&lt;=A63)),$H$7:$H$106),""))))</x:f>
      </x:c>
      <x:c r="D63" s="162" t="str">
        <x:f>IF(C63="","",C63-B63)</x:f>
      </x:c>
      <x:c r="E63" s="163" t="str">
        <x:f>IF(D63="","",IF(D63&gt;=0,"On / Ahead",IF(D63&gt;=-0.05,"Watch","Behind")))</x:f>
      </x:c>
      <x:c r="G63" s="167"/>
      <x:c r="H63" s="168"/>
      <x:c r="I63" s="170"/>
      <x:c r="J63"/>
      <x:c r="K63"/>
      <x:c r="L63"/>
      <x:c r="M63" t="str">
        <x:f>IF(A63="","",TEXT(A63,"mmm d"))</x:f>
      </x:c>
      <x:c r="N63" s="14" t="e">
        <x:f>IF(B63="",NA(),B63)</x:f>
        <x:v>#N/A</x:v>
      </x:c>
      <x:c r="O63" s="14" t="e">
        <x:f>IF(OR(P63="",$B$2="",$F$2="",P63&lt;$B$2,P63&gt;$F$2),NA(),IF(Q63=0,IF($F$2=$B$2,$H$2,MAX(0,MIN(1,$H$2*(3*MAX(0,MIN(1,(P63-$B$2)/($F$2-$B$2)))^2-2*MAX(0,MIN(1,(P63-$B$2)/($F$2-$B$2)))^3)))),MAX(0,MIN(1,T63+(V63-T63)*(3*W63^2-2*W63^3)))))</x:f>
        <x:v>#N/A</x:v>
      </x:c>
      <x:c r="P63" s="189" t="str">
        <x:f>A63</x:f>
      </x:c>
      <x:c r="Q63" t="n">
        <x:f>COUNT($G$7:$G$106)</x:f>
        <x:v>0</x:v>
      </x:c>
      <x:c r="R63" t="str">
        <x:f>IF(OR(P63="",$B$2="",$F$2="",P63&lt;$B$2,P63&gt;$F$2),"",IF(Q63=0,0,IF(P63&lt;$G$7,0,IF(P63&gt;=INDEX($G$7:$G$106,Q63),Q63,MATCH(P63,$G$7:$G$106,1)))))</x:f>
      </x:c>
      <x:c r="S63" t="str">
        <x:f>IF(R63="","",IF(R63=0,$B$2,INDEX($G$7:$G$106,R63)))</x:f>
      </x:c>
      <x:c r="T63" s="14" t="str">
        <x:f>IF(R63="","",IF(R63=0,0,INDEX($H$7:$H$106,R63)))</x:f>
      </x:c>
      <x:c r="U63" t="str">
        <x:f>IF(R63="","",IF(Q63=0,$F$2,IF(R63=0,$G$7,IF(R63&lt;Q63,INDEX($G$7:$G$106,R63+1),$F$2))))</x:f>
      </x:c>
      <x:c r="V63" s="14" t="str">
        <x:f>IF(R63="","",IF(Q63=0,$H$2,IF(R63=0,$H$7,IF(R63&lt;Q63,INDEX($H$7:$H$106,R63+1),$H$2))))</x:f>
      </x:c>
      <x:c r="W63" s="188" t="str">
        <x:f>IF(R63="","",IF(U63=S63,1,MAX(0,MIN(1,(P63-S63)/(U63-S63)))))</x:f>
      </x:c>
    </x:row>
    <x:row r="64">
      <x:c r="A64" s="159" t="str">
        <x:f>IF(OR(A63="",A63&gt;=$D$2),"",A63+1)</x:f>
      </x:c>
      <x:c r="B64" s="162" t="str">
        <x:f>IF(A64="","",IFERROR(SUMPRODUCT(--('Project Plan'!$A$7:$A$206&lt;&gt;""),('Project Plan'!$P$7:$P$206+('Project Plan'!$P$7:$P$206="")),--('Project Plan'!$F$7:$F$206&lt;&gt;""),--('Project Plan'!$G$7:$G$206&lt;&gt;""),((A64&gt;='Project Plan'!$G$7:$G$206)+((A64&gt;='Project Plan'!$F$7:$F$206)*(A64&lt;'Project Plan'!$G$7:$G$206)*(A64-'Project Plan'!$F$7:$F$206+1)/('Project Plan'!$G$7:$G$206-'Project Plan'!$F$7:$F$206+1))))/SUMPRODUCT(--('Project Plan'!$A$7:$A$206&lt;&gt;""),('Project Plan'!$P$7:$P$206+('Project Plan'!$P$7:$P$206=""))),0))</x:f>
      </x:c>
      <x:c r="C64" s="162" t="str">
        <x:f>IF(A64="","",IF(A64&gt;$F$2,"",IF(A64=$F$2,$H$2,IFERROR(LOOKUP(2,1/(($G$7:$G$106&lt;&gt;"")*($G$7:$G$106&lt;=A64)),$H$7:$H$106),""))))</x:f>
      </x:c>
      <x:c r="D64" s="162" t="str">
        <x:f>IF(C64="","",C64-B64)</x:f>
      </x:c>
      <x:c r="E64" s="163" t="str">
        <x:f>IF(D64="","",IF(D64&gt;=0,"On / Ahead",IF(D64&gt;=-0.05,"Watch","Behind")))</x:f>
      </x:c>
      <x:c r="G64" s="167"/>
      <x:c r="H64" s="168"/>
      <x:c r="I64" s="170"/>
      <x:c r="J64"/>
      <x:c r="K64"/>
      <x:c r="L64"/>
      <x:c r="M64" t="str">
        <x:f>IF(A64="","",TEXT(A64,"mmm d"))</x:f>
      </x:c>
      <x:c r="N64" s="14" t="e">
        <x:f>IF(B64="",NA(),B64)</x:f>
        <x:v>#N/A</x:v>
      </x:c>
      <x:c r="O64" s="14" t="e">
        <x:f>IF(OR(P64="",$B$2="",$F$2="",P64&lt;$B$2,P64&gt;$F$2),NA(),IF(Q64=0,IF($F$2=$B$2,$H$2,MAX(0,MIN(1,$H$2*(3*MAX(0,MIN(1,(P64-$B$2)/($F$2-$B$2)))^2-2*MAX(0,MIN(1,(P64-$B$2)/($F$2-$B$2)))^3)))),MAX(0,MIN(1,T64+(V64-T64)*(3*W64^2-2*W64^3)))))</x:f>
        <x:v>#N/A</x:v>
      </x:c>
      <x:c r="P64" s="189" t="str">
        <x:f>A64</x:f>
      </x:c>
      <x:c r="Q64" t="n">
        <x:f>COUNT($G$7:$G$106)</x:f>
        <x:v>0</x:v>
      </x:c>
      <x:c r="R64" t="str">
        <x:f>IF(OR(P64="",$B$2="",$F$2="",P64&lt;$B$2,P64&gt;$F$2),"",IF(Q64=0,0,IF(P64&lt;$G$7,0,IF(P64&gt;=INDEX($G$7:$G$106,Q64),Q64,MATCH(P64,$G$7:$G$106,1)))))</x:f>
      </x:c>
      <x:c r="S64" t="str">
        <x:f>IF(R64="","",IF(R64=0,$B$2,INDEX($G$7:$G$106,R64)))</x:f>
      </x:c>
      <x:c r="T64" s="14" t="str">
        <x:f>IF(R64="","",IF(R64=0,0,INDEX($H$7:$H$106,R64)))</x:f>
      </x:c>
      <x:c r="U64" t="str">
        <x:f>IF(R64="","",IF(Q64=0,$F$2,IF(R64=0,$G$7,IF(R64&lt;Q64,INDEX($G$7:$G$106,R64+1),$F$2))))</x:f>
      </x:c>
      <x:c r="V64" s="14" t="str">
        <x:f>IF(R64="","",IF(Q64=0,$H$2,IF(R64=0,$H$7,IF(R64&lt;Q64,INDEX($H$7:$H$106,R64+1),$H$2))))</x:f>
      </x:c>
      <x:c r="W64" s="188" t="str">
        <x:f>IF(R64="","",IF(U64=S64,1,MAX(0,MIN(1,(P64-S64)/(U64-S64)))))</x:f>
      </x:c>
    </x:row>
    <x:row r="65">
      <x:c r="A65" s="159" t="str">
        <x:f>IF(OR(A64="",A64&gt;=$D$2),"",A64+1)</x:f>
      </x:c>
      <x:c r="B65" s="162" t="str">
        <x:f>IF(A65="","",IFERROR(SUMPRODUCT(--('Project Plan'!$A$7:$A$206&lt;&gt;""),('Project Plan'!$P$7:$P$206+('Project Plan'!$P$7:$P$206="")),--('Project Plan'!$F$7:$F$206&lt;&gt;""),--('Project Plan'!$G$7:$G$206&lt;&gt;""),((A65&gt;='Project Plan'!$G$7:$G$206)+((A65&gt;='Project Plan'!$F$7:$F$206)*(A65&lt;'Project Plan'!$G$7:$G$206)*(A65-'Project Plan'!$F$7:$F$206+1)/('Project Plan'!$G$7:$G$206-'Project Plan'!$F$7:$F$206+1))))/SUMPRODUCT(--('Project Plan'!$A$7:$A$206&lt;&gt;""),('Project Plan'!$P$7:$P$206+('Project Plan'!$P$7:$P$206=""))),0))</x:f>
      </x:c>
      <x:c r="C65" s="162" t="str">
        <x:f>IF(A65="","",IF(A65&gt;$F$2,"",IF(A65=$F$2,$H$2,IFERROR(LOOKUP(2,1/(($G$7:$G$106&lt;&gt;"")*($G$7:$G$106&lt;=A65)),$H$7:$H$106),""))))</x:f>
      </x:c>
      <x:c r="D65" s="162" t="str">
        <x:f>IF(C65="","",C65-B65)</x:f>
      </x:c>
      <x:c r="E65" s="163" t="str">
        <x:f>IF(D65="","",IF(D65&gt;=0,"On / Ahead",IF(D65&gt;=-0.05,"Watch","Behind")))</x:f>
      </x:c>
      <x:c r="G65" s="167"/>
      <x:c r="H65" s="168"/>
      <x:c r="I65" s="170"/>
      <x:c r="J65"/>
      <x:c r="K65"/>
      <x:c r="L65"/>
      <x:c r="M65" t="str">
        <x:f>IF(A65="","",TEXT(A65,"mmm d"))</x:f>
      </x:c>
      <x:c r="N65" s="14" t="e">
        <x:f>IF(B65="",NA(),B65)</x:f>
        <x:v>#N/A</x:v>
      </x:c>
      <x:c r="O65" s="14" t="e">
        <x:f>IF(OR(P65="",$B$2="",$F$2="",P65&lt;$B$2,P65&gt;$F$2),NA(),IF(Q65=0,IF($F$2=$B$2,$H$2,MAX(0,MIN(1,$H$2*(3*MAX(0,MIN(1,(P65-$B$2)/($F$2-$B$2)))^2-2*MAX(0,MIN(1,(P65-$B$2)/($F$2-$B$2)))^3)))),MAX(0,MIN(1,T65+(V65-T65)*(3*W65^2-2*W65^3)))))</x:f>
        <x:v>#N/A</x:v>
      </x:c>
      <x:c r="P65" s="189" t="str">
        <x:f>A65</x:f>
      </x:c>
      <x:c r="Q65" t="n">
        <x:f>COUNT($G$7:$G$106)</x:f>
        <x:v>0</x:v>
      </x:c>
      <x:c r="R65" t="str">
        <x:f>IF(OR(P65="",$B$2="",$F$2="",P65&lt;$B$2,P65&gt;$F$2),"",IF(Q65=0,0,IF(P65&lt;$G$7,0,IF(P65&gt;=INDEX($G$7:$G$106,Q65),Q65,MATCH(P65,$G$7:$G$106,1)))))</x:f>
      </x:c>
      <x:c r="S65" t="str">
        <x:f>IF(R65="","",IF(R65=0,$B$2,INDEX($G$7:$G$106,R65)))</x:f>
      </x:c>
      <x:c r="T65" s="14" t="str">
        <x:f>IF(R65="","",IF(R65=0,0,INDEX($H$7:$H$106,R65)))</x:f>
      </x:c>
      <x:c r="U65" t="str">
        <x:f>IF(R65="","",IF(Q65=0,$F$2,IF(R65=0,$G$7,IF(R65&lt;Q65,INDEX($G$7:$G$106,R65+1),$F$2))))</x:f>
      </x:c>
      <x:c r="V65" s="14" t="str">
        <x:f>IF(R65="","",IF(Q65=0,$H$2,IF(R65=0,$H$7,IF(R65&lt;Q65,INDEX($H$7:$H$106,R65+1),$H$2))))</x:f>
      </x:c>
      <x:c r="W65" s="188" t="str">
        <x:f>IF(R65="","",IF(U65=S65,1,MAX(0,MIN(1,(P65-S65)/(U65-S65)))))</x:f>
      </x:c>
    </x:row>
    <x:row r="66">
      <x:c r="A66" s="159" t="str">
        <x:f>IF(OR(A65="",A65&gt;=$D$2),"",A65+1)</x:f>
      </x:c>
      <x:c r="B66" s="162" t="str">
        <x:f>IF(A66="","",IFERROR(SUMPRODUCT(--('Project Plan'!$A$7:$A$206&lt;&gt;""),('Project Plan'!$P$7:$P$206+('Project Plan'!$P$7:$P$206="")),--('Project Plan'!$F$7:$F$206&lt;&gt;""),--('Project Plan'!$G$7:$G$206&lt;&gt;""),((A66&gt;='Project Plan'!$G$7:$G$206)+((A66&gt;='Project Plan'!$F$7:$F$206)*(A66&lt;'Project Plan'!$G$7:$G$206)*(A66-'Project Plan'!$F$7:$F$206+1)/('Project Plan'!$G$7:$G$206-'Project Plan'!$F$7:$F$206+1))))/SUMPRODUCT(--('Project Plan'!$A$7:$A$206&lt;&gt;""),('Project Plan'!$P$7:$P$206+('Project Plan'!$P$7:$P$206=""))),0))</x:f>
      </x:c>
      <x:c r="C66" s="162" t="str">
        <x:f>IF(A66="","",IF(A66&gt;$F$2,"",IF(A66=$F$2,$H$2,IFERROR(LOOKUP(2,1/(($G$7:$G$106&lt;&gt;"")*($G$7:$G$106&lt;=A66)),$H$7:$H$106),""))))</x:f>
      </x:c>
      <x:c r="D66" s="162" t="str">
        <x:f>IF(C66="","",C66-B66)</x:f>
      </x:c>
      <x:c r="E66" s="163" t="str">
        <x:f>IF(D66="","",IF(D66&gt;=0,"On / Ahead",IF(D66&gt;=-0.05,"Watch","Behind")))</x:f>
      </x:c>
      <x:c r="G66" s="167"/>
      <x:c r="H66" s="168"/>
      <x:c r="I66" s="170"/>
      <x:c r="J66"/>
      <x:c r="K66"/>
      <x:c r="L66"/>
      <x:c r="M66" t="str">
        <x:f>IF(A66="","",TEXT(A66,"mmm d"))</x:f>
      </x:c>
      <x:c r="N66" s="14" t="e">
        <x:f>IF(B66="",NA(),B66)</x:f>
        <x:v>#N/A</x:v>
      </x:c>
      <x:c r="O66" s="14" t="e">
        <x:f>IF(OR(P66="",$B$2="",$F$2="",P66&lt;$B$2,P66&gt;$F$2),NA(),IF(Q66=0,IF($F$2=$B$2,$H$2,MAX(0,MIN(1,$H$2*(3*MAX(0,MIN(1,(P66-$B$2)/($F$2-$B$2)))^2-2*MAX(0,MIN(1,(P66-$B$2)/($F$2-$B$2)))^3)))),MAX(0,MIN(1,T66+(V66-T66)*(3*W66^2-2*W66^3)))))</x:f>
        <x:v>#N/A</x:v>
      </x:c>
      <x:c r="P66" s="189" t="str">
        <x:f>A66</x:f>
      </x:c>
      <x:c r="Q66" t="n">
        <x:f>COUNT($G$7:$G$106)</x:f>
        <x:v>0</x:v>
      </x:c>
      <x:c r="R66" t="str">
        <x:f>IF(OR(P66="",$B$2="",$F$2="",P66&lt;$B$2,P66&gt;$F$2),"",IF(Q66=0,0,IF(P66&lt;$G$7,0,IF(P66&gt;=INDEX($G$7:$G$106,Q66),Q66,MATCH(P66,$G$7:$G$106,1)))))</x:f>
      </x:c>
      <x:c r="S66" t="str">
        <x:f>IF(R66="","",IF(R66=0,$B$2,INDEX($G$7:$G$106,R66)))</x:f>
      </x:c>
      <x:c r="T66" s="14" t="str">
        <x:f>IF(R66="","",IF(R66=0,0,INDEX($H$7:$H$106,R66)))</x:f>
      </x:c>
      <x:c r="U66" t="str">
        <x:f>IF(R66="","",IF(Q66=0,$F$2,IF(R66=0,$G$7,IF(R66&lt;Q66,INDEX($G$7:$G$106,R66+1),$F$2))))</x:f>
      </x:c>
      <x:c r="V66" s="14" t="str">
        <x:f>IF(R66="","",IF(Q66=0,$H$2,IF(R66=0,$H$7,IF(R66&lt;Q66,INDEX($H$7:$H$106,R66+1),$H$2))))</x:f>
      </x:c>
      <x:c r="W66" s="188" t="str">
        <x:f>IF(R66="","",IF(U66=S66,1,MAX(0,MIN(1,(P66-S66)/(U66-S66)))))</x:f>
      </x:c>
    </x:row>
    <x:row r="67">
      <x:c r="A67" s="159" t="str">
        <x:f>IF(OR(A66="",A66&gt;=$D$2),"",A66+1)</x:f>
      </x:c>
      <x:c r="B67" s="162" t="str">
        <x:f>IF(A67="","",IFERROR(SUMPRODUCT(--('Project Plan'!$A$7:$A$206&lt;&gt;""),('Project Plan'!$P$7:$P$206+('Project Plan'!$P$7:$P$206="")),--('Project Plan'!$F$7:$F$206&lt;&gt;""),--('Project Plan'!$G$7:$G$206&lt;&gt;""),((A67&gt;='Project Plan'!$G$7:$G$206)+((A67&gt;='Project Plan'!$F$7:$F$206)*(A67&lt;'Project Plan'!$G$7:$G$206)*(A67-'Project Plan'!$F$7:$F$206+1)/('Project Plan'!$G$7:$G$206-'Project Plan'!$F$7:$F$206+1))))/SUMPRODUCT(--('Project Plan'!$A$7:$A$206&lt;&gt;""),('Project Plan'!$P$7:$P$206+('Project Plan'!$P$7:$P$206=""))),0))</x:f>
      </x:c>
      <x:c r="C67" s="162" t="str">
        <x:f>IF(A67="","",IF(A67&gt;$F$2,"",IF(A67=$F$2,$H$2,IFERROR(LOOKUP(2,1/(($G$7:$G$106&lt;&gt;"")*($G$7:$G$106&lt;=A67)),$H$7:$H$106),""))))</x:f>
      </x:c>
      <x:c r="D67" s="162" t="str">
        <x:f>IF(C67="","",C67-B67)</x:f>
      </x:c>
      <x:c r="E67" s="163" t="str">
        <x:f>IF(D67="","",IF(D67&gt;=0,"On / Ahead",IF(D67&gt;=-0.05,"Watch","Behind")))</x:f>
      </x:c>
      <x:c r="G67" s="167"/>
      <x:c r="H67" s="168"/>
      <x:c r="I67" s="170"/>
      <x:c r="J67"/>
      <x:c r="K67"/>
      <x:c r="L67"/>
      <x:c r="M67" t="str">
        <x:f>IF(A67="","",TEXT(A67,"mmm d"))</x:f>
      </x:c>
      <x:c r="N67" s="14" t="e">
        <x:f>IF(B67="",NA(),B67)</x:f>
        <x:v>#N/A</x:v>
      </x:c>
      <x:c r="O67" s="14" t="e">
        <x:f>IF(OR(P67="",$B$2="",$F$2="",P67&lt;$B$2,P67&gt;$F$2),NA(),IF(Q67=0,IF($F$2=$B$2,$H$2,MAX(0,MIN(1,$H$2*(3*MAX(0,MIN(1,(P67-$B$2)/($F$2-$B$2)))^2-2*MAX(0,MIN(1,(P67-$B$2)/($F$2-$B$2)))^3)))),MAX(0,MIN(1,T67+(V67-T67)*(3*W67^2-2*W67^3)))))</x:f>
        <x:v>#N/A</x:v>
      </x:c>
      <x:c r="P67" s="189" t="str">
        <x:f>A67</x:f>
      </x:c>
      <x:c r="Q67" t="n">
        <x:f>COUNT($G$7:$G$106)</x:f>
        <x:v>0</x:v>
      </x:c>
      <x:c r="R67" t="str">
        <x:f>IF(OR(P67="",$B$2="",$F$2="",P67&lt;$B$2,P67&gt;$F$2),"",IF(Q67=0,0,IF(P67&lt;$G$7,0,IF(P67&gt;=INDEX($G$7:$G$106,Q67),Q67,MATCH(P67,$G$7:$G$106,1)))))</x:f>
      </x:c>
      <x:c r="S67" t="str">
        <x:f>IF(R67="","",IF(R67=0,$B$2,INDEX($G$7:$G$106,R67)))</x:f>
      </x:c>
      <x:c r="T67" s="14" t="str">
        <x:f>IF(R67="","",IF(R67=0,0,INDEX($H$7:$H$106,R67)))</x:f>
      </x:c>
      <x:c r="U67" t="str">
        <x:f>IF(R67="","",IF(Q67=0,$F$2,IF(R67=0,$G$7,IF(R67&lt;Q67,INDEX($G$7:$G$106,R67+1),$F$2))))</x:f>
      </x:c>
      <x:c r="V67" s="14" t="str">
        <x:f>IF(R67="","",IF(Q67=0,$H$2,IF(R67=0,$H$7,IF(R67&lt;Q67,INDEX($H$7:$H$106,R67+1),$H$2))))</x:f>
      </x:c>
      <x:c r="W67" s="188" t="str">
        <x:f>IF(R67="","",IF(U67=S67,1,MAX(0,MIN(1,(P67-S67)/(U67-S67)))))</x:f>
      </x:c>
    </x:row>
    <x:row r="68">
      <x:c r="A68" s="159" t="str">
        <x:f>IF(OR(A67="",A67&gt;=$D$2),"",A67+1)</x:f>
      </x:c>
      <x:c r="B68" s="162" t="str">
        <x:f>IF(A68="","",IFERROR(SUMPRODUCT(--('Project Plan'!$A$7:$A$206&lt;&gt;""),('Project Plan'!$P$7:$P$206+('Project Plan'!$P$7:$P$206="")),--('Project Plan'!$F$7:$F$206&lt;&gt;""),--('Project Plan'!$G$7:$G$206&lt;&gt;""),((A68&gt;='Project Plan'!$G$7:$G$206)+((A68&gt;='Project Plan'!$F$7:$F$206)*(A68&lt;'Project Plan'!$G$7:$G$206)*(A68-'Project Plan'!$F$7:$F$206+1)/('Project Plan'!$G$7:$G$206-'Project Plan'!$F$7:$F$206+1))))/SUMPRODUCT(--('Project Plan'!$A$7:$A$206&lt;&gt;""),('Project Plan'!$P$7:$P$206+('Project Plan'!$P$7:$P$206=""))),0))</x:f>
      </x:c>
      <x:c r="C68" s="162" t="str">
        <x:f>IF(A68="","",IF(A68&gt;$F$2,"",IF(A68=$F$2,$H$2,IFERROR(LOOKUP(2,1/(($G$7:$G$106&lt;&gt;"")*($G$7:$G$106&lt;=A68)),$H$7:$H$106),""))))</x:f>
      </x:c>
      <x:c r="D68" s="162" t="str">
        <x:f>IF(C68="","",C68-B68)</x:f>
      </x:c>
      <x:c r="E68" s="163" t="str">
        <x:f>IF(D68="","",IF(D68&gt;=0,"On / Ahead",IF(D68&gt;=-0.05,"Watch","Behind")))</x:f>
      </x:c>
      <x:c r="G68" s="167"/>
      <x:c r="H68" s="168"/>
      <x:c r="I68" s="170"/>
      <x:c r="J68"/>
      <x:c r="K68"/>
      <x:c r="L68"/>
      <x:c r="M68" t="str">
        <x:f>IF(A68="","",TEXT(A68,"mmm d"))</x:f>
      </x:c>
      <x:c r="N68" s="14" t="e">
        <x:f>IF(B68="",NA(),B68)</x:f>
        <x:v>#N/A</x:v>
      </x:c>
      <x:c r="O68" s="14" t="e">
        <x:f>IF(OR(P68="",$B$2="",$F$2="",P68&lt;$B$2,P68&gt;$F$2),NA(),IF(Q68=0,IF($F$2=$B$2,$H$2,MAX(0,MIN(1,$H$2*(3*MAX(0,MIN(1,(P68-$B$2)/($F$2-$B$2)))^2-2*MAX(0,MIN(1,(P68-$B$2)/($F$2-$B$2)))^3)))),MAX(0,MIN(1,T68+(V68-T68)*(3*W68^2-2*W68^3)))))</x:f>
        <x:v>#N/A</x:v>
      </x:c>
      <x:c r="P68" s="189" t="str">
        <x:f>A68</x:f>
      </x:c>
      <x:c r="Q68" t="n">
        <x:f>COUNT($G$7:$G$106)</x:f>
        <x:v>0</x:v>
      </x:c>
      <x:c r="R68" t="str">
        <x:f>IF(OR(P68="",$B$2="",$F$2="",P68&lt;$B$2,P68&gt;$F$2),"",IF(Q68=0,0,IF(P68&lt;$G$7,0,IF(P68&gt;=INDEX($G$7:$G$106,Q68),Q68,MATCH(P68,$G$7:$G$106,1)))))</x:f>
      </x:c>
      <x:c r="S68" t="str">
        <x:f>IF(R68="","",IF(R68=0,$B$2,INDEX($G$7:$G$106,R68)))</x:f>
      </x:c>
      <x:c r="T68" s="14" t="str">
        <x:f>IF(R68="","",IF(R68=0,0,INDEX($H$7:$H$106,R68)))</x:f>
      </x:c>
      <x:c r="U68" t="str">
        <x:f>IF(R68="","",IF(Q68=0,$F$2,IF(R68=0,$G$7,IF(R68&lt;Q68,INDEX($G$7:$G$106,R68+1),$F$2))))</x:f>
      </x:c>
      <x:c r="V68" s="14" t="str">
        <x:f>IF(R68="","",IF(Q68=0,$H$2,IF(R68=0,$H$7,IF(R68&lt;Q68,INDEX($H$7:$H$106,R68+1),$H$2))))</x:f>
      </x:c>
      <x:c r="W68" s="188" t="str">
        <x:f>IF(R68="","",IF(U68=S68,1,MAX(0,MIN(1,(P68-S68)/(U68-S68)))))</x:f>
      </x:c>
    </x:row>
    <x:row r="69">
      <x:c r="A69" s="159" t="str">
        <x:f>IF(OR(A68="",A68&gt;=$D$2),"",A68+1)</x:f>
      </x:c>
      <x:c r="B69" s="162" t="str">
        <x:f>IF(A69="","",IFERROR(SUMPRODUCT(--('Project Plan'!$A$7:$A$206&lt;&gt;""),('Project Plan'!$P$7:$P$206+('Project Plan'!$P$7:$P$206="")),--('Project Plan'!$F$7:$F$206&lt;&gt;""),--('Project Plan'!$G$7:$G$206&lt;&gt;""),((A69&gt;='Project Plan'!$G$7:$G$206)+((A69&gt;='Project Plan'!$F$7:$F$206)*(A69&lt;'Project Plan'!$G$7:$G$206)*(A69-'Project Plan'!$F$7:$F$206+1)/('Project Plan'!$G$7:$G$206-'Project Plan'!$F$7:$F$206+1))))/SUMPRODUCT(--('Project Plan'!$A$7:$A$206&lt;&gt;""),('Project Plan'!$P$7:$P$206+('Project Plan'!$P$7:$P$206=""))),0))</x:f>
      </x:c>
      <x:c r="C69" s="162" t="str">
        <x:f>IF(A69="","",IF(A69&gt;$F$2,"",IF(A69=$F$2,$H$2,IFERROR(LOOKUP(2,1/(($G$7:$G$106&lt;&gt;"")*($G$7:$G$106&lt;=A69)),$H$7:$H$106),""))))</x:f>
      </x:c>
      <x:c r="D69" s="162" t="str">
        <x:f>IF(C69="","",C69-B69)</x:f>
      </x:c>
      <x:c r="E69" s="163" t="str">
        <x:f>IF(D69="","",IF(D69&gt;=0,"On / Ahead",IF(D69&gt;=-0.05,"Watch","Behind")))</x:f>
      </x:c>
      <x:c r="G69" s="167"/>
      <x:c r="H69" s="168"/>
      <x:c r="I69" s="170"/>
      <x:c r="J69"/>
      <x:c r="K69"/>
      <x:c r="L69"/>
      <x:c r="M69" t="str">
        <x:f>IF(A69="","",TEXT(A69,"mmm d"))</x:f>
      </x:c>
      <x:c r="N69" s="14" t="e">
        <x:f>IF(B69="",NA(),B69)</x:f>
        <x:v>#N/A</x:v>
      </x:c>
      <x:c r="O69" s="14" t="e">
        <x:f>IF(OR(P69="",$B$2="",$F$2="",P69&lt;$B$2,P69&gt;$F$2),NA(),IF(Q69=0,IF($F$2=$B$2,$H$2,MAX(0,MIN(1,$H$2*(3*MAX(0,MIN(1,(P69-$B$2)/($F$2-$B$2)))^2-2*MAX(0,MIN(1,(P69-$B$2)/($F$2-$B$2)))^3)))),MAX(0,MIN(1,T69+(V69-T69)*(3*W69^2-2*W69^3)))))</x:f>
        <x:v>#N/A</x:v>
      </x:c>
      <x:c r="P69" s="189" t="str">
        <x:f>A69</x:f>
      </x:c>
      <x:c r="Q69" t="n">
        <x:f>COUNT($G$7:$G$106)</x:f>
        <x:v>0</x:v>
      </x:c>
      <x:c r="R69" t="str">
        <x:f>IF(OR(P69="",$B$2="",$F$2="",P69&lt;$B$2,P69&gt;$F$2),"",IF(Q69=0,0,IF(P69&lt;$G$7,0,IF(P69&gt;=INDEX($G$7:$G$106,Q69),Q69,MATCH(P69,$G$7:$G$106,1)))))</x:f>
      </x:c>
      <x:c r="S69" t="str">
        <x:f>IF(R69="","",IF(R69=0,$B$2,INDEX($G$7:$G$106,R69)))</x:f>
      </x:c>
      <x:c r="T69" s="14" t="str">
        <x:f>IF(R69="","",IF(R69=0,0,INDEX($H$7:$H$106,R69)))</x:f>
      </x:c>
      <x:c r="U69" t="str">
        <x:f>IF(R69="","",IF(Q69=0,$F$2,IF(R69=0,$G$7,IF(R69&lt;Q69,INDEX($G$7:$G$106,R69+1),$F$2))))</x:f>
      </x:c>
      <x:c r="V69" s="14" t="str">
        <x:f>IF(R69="","",IF(Q69=0,$H$2,IF(R69=0,$H$7,IF(R69&lt;Q69,INDEX($H$7:$H$106,R69+1),$H$2))))</x:f>
      </x:c>
      <x:c r="W69" s="188" t="str">
        <x:f>IF(R69="","",IF(U69=S69,1,MAX(0,MIN(1,(P69-S69)/(U69-S69)))))</x:f>
      </x:c>
    </x:row>
    <x:row r="70">
      <x:c r="A70" s="159" t="str">
        <x:f>IF(OR(A69="",A69&gt;=$D$2),"",A69+1)</x:f>
      </x:c>
      <x:c r="B70" s="162" t="str">
        <x:f>IF(A70="","",IFERROR(SUMPRODUCT(--('Project Plan'!$A$7:$A$206&lt;&gt;""),('Project Plan'!$P$7:$P$206+('Project Plan'!$P$7:$P$206="")),--('Project Plan'!$F$7:$F$206&lt;&gt;""),--('Project Plan'!$G$7:$G$206&lt;&gt;""),((A70&gt;='Project Plan'!$G$7:$G$206)+((A70&gt;='Project Plan'!$F$7:$F$206)*(A70&lt;'Project Plan'!$G$7:$G$206)*(A70-'Project Plan'!$F$7:$F$206+1)/('Project Plan'!$G$7:$G$206-'Project Plan'!$F$7:$F$206+1))))/SUMPRODUCT(--('Project Plan'!$A$7:$A$206&lt;&gt;""),('Project Plan'!$P$7:$P$206+('Project Plan'!$P$7:$P$206=""))),0))</x:f>
      </x:c>
      <x:c r="C70" s="162" t="str">
        <x:f>IF(A70="","",IF(A70&gt;$F$2,"",IF(A70=$F$2,$H$2,IFERROR(LOOKUP(2,1/(($G$7:$G$106&lt;&gt;"")*($G$7:$G$106&lt;=A70)),$H$7:$H$106),""))))</x:f>
      </x:c>
      <x:c r="D70" s="162" t="str">
        <x:f>IF(C70="","",C70-B70)</x:f>
      </x:c>
      <x:c r="E70" s="163" t="str">
        <x:f>IF(D70="","",IF(D70&gt;=0,"On / Ahead",IF(D70&gt;=-0.05,"Watch","Behind")))</x:f>
      </x:c>
      <x:c r="G70" s="167"/>
      <x:c r="H70" s="168"/>
      <x:c r="I70" s="170"/>
      <x:c r="J70"/>
      <x:c r="K70"/>
      <x:c r="L70"/>
      <x:c r="M70" t="str">
        <x:f>IF(A70="","",TEXT(A70,"mmm d"))</x:f>
      </x:c>
      <x:c r="N70" s="14" t="e">
        <x:f>IF(B70="",NA(),B70)</x:f>
        <x:v>#N/A</x:v>
      </x:c>
      <x:c r="O70" s="14" t="e">
        <x:f>IF(OR(P70="",$B$2="",$F$2="",P70&lt;$B$2,P70&gt;$F$2),NA(),IF(Q70=0,IF($F$2=$B$2,$H$2,MAX(0,MIN(1,$H$2*(3*MAX(0,MIN(1,(P70-$B$2)/($F$2-$B$2)))^2-2*MAX(0,MIN(1,(P70-$B$2)/($F$2-$B$2)))^3)))),MAX(0,MIN(1,T70+(V70-T70)*(3*W70^2-2*W70^3)))))</x:f>
        <x:v>#N/A</x:v>
      </x:c>
      <x:c r="P70" s="189" t="str">
        <x:f>A70</x:f>
      </x:c>
      <x:c r="Q70" t="n">
        <x:f>COUNT($G$7:$G$106)</x:f>
        <x:v>0</x:v>
      </x:c>
      <x:c r="R70" t="str">
        <x:f>IF(OR(P70="",$B$2="",$F$2="",P70&lt;$B$2,P70&gt;$F$2),"",IF(Q70=0,0,IF(P70&lt;$G$7,0,IF(P70&gt;=INDEX($G$7:$G$106,Q70),Q70,MATCH(P70,$G$7:$G$106,1)))))</x:f>
      </x:c>
      <x:c r="S70" t="str">
        <x:f>IF(R70="","",IF(R70=0,$B$2,INDEX($G$7:$G$106,R70)))</x:f>
      </x:c>
      <x:c r="T70" s="14" t="str">
        <x:f>IF(R70="","",IF(R70=0,0,INDEX($H$7:$H$106,R70)))</x:f>
      </x:c>
      <x:c r="U70" t="str">
        <x:f>IF(R70="","",IF(Q70=0,$F$2,IF(R70=0,$G$7,IF(R70&lt;Q70,INDEX($G$7:$G$106,R70+1),$F$2))))</x:f>
      </x:c>
      <x:c r="V70" s="14" t="str">
        <x:f>IF(R70="","",IF(Q70=0,$H$2,IF(R70=0,$H$7,IF(R70&lt;Q70,INDEX($H$7:$H$106,R70+1),$H$2))))</x:f>
      </x:c>
      <x:c r="W70" s="188" t="str">
        <x:f>IF(R70="","",IF(U70=S70,1,MAX(0,MIN(1,(P70-S70)/(U70-S70)))))</x:f>
      </x:c>
    </x:row>
    <x:row r="71">
      <x:c r="A71" s="159" t="str">
        <x:f>IF(OR(A70="",A70&gt;=$D$2),"",A70+1)</x:f>
      </x:c>
      <x:c r="B71" s="162" t="str">
        <x:f>IF(A71="","",IFERROR(SUMPRODUCT(--('Project Plan'!$A$7:$A$206&lt;&gt;""),('Project Plan'!$P$7:$P$206+('Project Plan'!$P$7:$P$206="")),--('Project Plan'!$F$7:$F$206&lt;&gt;""),--('Project Plan'!$G$7:$G$206&lt;&gt;""),((A71&gt;='Project Plan'!$G$7:$G$206)+((A71&gt;='Project Plan'!$F$7:$F$206)*(A71&lt;'Project Plan'!$G$7:$G$206)*(A71-'Project Plan'!$F$7:$F$206+1)/('Project Plan'!$G$7:$G$206-'Project Plan'!$F$7:$F$206+1))))/SUMPRODUCT(--('Project Plan'!$A$7:$A$206&lt;&gt;""),('Project Plan'!$P$7:$P$206+('Project Plan'!$P$7:$P$206=""))),0))</x:f>
      </x:c>
      <x:c r="C71" s="162" t="str">
        <x:f>IF(A71="","",IF(A71&gt;$F$2,"",IF(A71=$F$2,$H$2,IFERROR(LOOKUP(2,1/(($G$7:$G$106&lt;&gt;"")*($G$7:$G$106&lt;=A71)),$H$7:$H$106),""))))</x:f>
      </x:c>
      <x:c r="D71" s="162" t="str">
        <x:f>IF(C71="","",C71-B71)</x:f>
      </x:c>
      <x:c r="E71" s="163" t="str">
        <x:f>IF(D71="","",IF(D71&gt;=0,"On / Ahead",IF(D71&gt;=-0.05,"Watch","Behind")))</x:f>
      </x:c>
      <x:c r="G71" s="167"/>
      <x:c r="H71" s="168"/>
      <x:c r="I71" s="170"/>
      <x:c r="J71"/>
      <x:c r="K71"/>
      <x:c r="L71"/>
      <x:c r="M71" t="str">
        <x:f>IF(A71="","",TEXT(A71,"mmm d"))</x:f>
      </x:c>
      <x:c r="N71" s="14" t="e">
        <x:f>IF(B71="",NA(),B71)</x:f>
        <x:v>#N/A</x:v>
      </x:c>
      <x:c r="O71" s="14" t="e">
        <x:f>IF(OR(P71="",$B$2="",$F$2="",P71&lt;$B$2,P71&gt;$F$2),NA(),IF(Q71=0,IF($F$2=$B$2,$H$2,MAX(0,MIN(1,$H$2*(3*MAX(0,MIN(1,(P71-$B$2)/($F$2-$B$2)))^2-2*MAX(0,MIN(1,(P71-$B$2)/($F$2-$B$2)))^3)))),MAX(0,MIN(1,T71+(V71-T71)*(3*W71^2-2*W71^3)))))</x:f>
        <x:v>#N/A</x:v>
      </x:c>
      <x:c r="P71" s="189" t="str">
        <x:f>A71</x:f>
      </x:c>
      <x:c r="Q71" t="n">
        <x:f>COUNT($G$7:$G$106)</x:f>
        <x:v>0</x:v>
      </x:c>
      <x:c r="R71" t="str">
        <x:f>IF(OR(P71="",$B$2="",$F$2="",P71&lt;$B$2,P71&gt;$F$2),"",IF(Q71=0,0,IF(P71&lt;$G$7,0,IF(P71&gt;=INDEX($G$7:$G$106,Q71),Q71,MATCH(P71,$G$7:$G$106,1)))))</x:f>
      </x:c>
      <x:c r="S71" t="str">
        <x:f>IF(R71="","",IF(R71=0,$B$2,INDEX($G$7:$G$106,R71)))</x:f>
      </x:c>
      <x:c r="T71" s="14" t="str">
        <x:f>IF(R71="","",IF(R71=0,0,INDEX($H$7:$H$106,R71)))</x:f>
      </x:c>
      <x:c r="U71" t="str">
        <x:f>IF(R71="","",IF(Q71=0,$F$2,IF(R71=0,$G$7,IF(R71&lt;Q71,INDEX($G$7:$G$106,R71+1),$F$2))))</x:f>
      </x:c>
      <x:c r="V71" s="14" t="str">
        <x:f>IF(R71="","",IF(Q71=0,$H$2,IF(R71=0,$H$7,IF(R71&lt;Q71,INDEX($H$7:$H$106,R71+1),$H$2))))</x:f>
      </x:c>
      <x:c r="W71" s="188" t="str">
        <x:f>IF(R71="","",IF(U71=S71,1,MAX(0,MIN(1,(P71-S71)/(U71-S71)))))</x:f>
      </x:c>
    </x:row>
    <x:row r="72">
      <x:c r="A72" s="159" t="str">
        <x:f>IF(OR(A71="",A71&gt;=$D$2),"",A71+1)</x:f>
      </x:c>
      <x:c r="B72" s="162" t="str">
        <x:f>IF(A72="","",IFERROR(SUMPRODUCT(--('Project Plan'!$A$7:$A$206&lt;&gt;""),('Project Plan'!$P$7:$P$206+('Project Plan'!$P$7:$P$206="")),--('Project Plan'!$F$7:$F$206&lt;&gt;""),--('Project Plan'!$G$7:$G$206&lt;&gt;""),((A72&gt;='Project Plan'!$G$7:$G$206)+((A72&gt;='Project Plan'!$F$7:$F$206)*(A72&lt;'Project Plan'!$G$7:$G$206)*(A72-'Project Plan'!$F$7:$F$206+1)/('Project Plan'!$G$7:$G$206-'Project Plan'!$F$7:$F$206+1))))/SUMPRODUCT(--('Project Plan'!$A$7:$A$206&lt;&gt;""),('Project Plan'!$P$7:$P$206+('Project Plan'!$P$7:$P$206=""))),0))</x:f>
      </x:c>
      <x:c r="C72" s="162" t="str">
        <x:f>IF(A72="","",IF(A72&gt;$F$2,"",IF(A72=$F$2,$H$2,IFERROR(LOOKUP(2,1/(($G$7:$G$106&lt;&gt;"")*($G$7:$G$106&lt;=A72)),$H$7:$H$106),""))))</x:f>
      </x:c>
      <x:c r="D72" s="162" t="str">
        <x:f>IF(C72="","",C72-B72)</x:f>
      </x:c>
      <x:c r="E72" s="163" t="str">
        <x:f>IF(D72="","",IF(D72&gt;=0,"On / Ahead",IF(D72&gt;=-0.05,"Watch","Behind")))</x:f>
      </x:c>
      <x:c r="G72" s="167"/>
      <x:c r="H72" s="168"/>
      <x:c r="I72" s="170"/>
      <x:c r="J72"/>
      <x:c r="K72"/>
      <x:c r="L72"/>
      <x:c r="M72" t="str">
        <x:f>IF(A72="","",TEXT(A72,"mmm d"))</x:f>
      </x:c>
      <x:c r="N72" s="14" t="e">
        <x:f>IF(B72="",NA(),B72)</x:f>
        <x:v>#N/A</x:v>
      </x:c>
      <x:c r="O72" s="14" t="e">
        <x:f>IF(OR(P72="",$B$2="",$F$2="",P72&lt;$B$2,P72&gt;$F$2),NA(),IF(Q72=0,IF($F$2=$B$2,$H$2,MAX(0,MIN(1,$H$2*(3*MAX(0,MIN(1,(P72-$B$2)/($F$2-$B$2)))^2-2*MAX(0,MIN(1,(P72-$B$2)/($F$2-$B$2)))^3)))),MAX(0,MIN(1,T72+(V72-T72)*(3*W72^2-2*W72^3)))))</x:f>
        <x:v>#N/A</x:v>
      </x:c>
      <x:c r="P72" s="189" t="str">
        <x:f>A72</x:f>
      </x:c>
      <x:c r="Q72" t="n">
        <x:f>COUNT($G$7:$G$106)</x:f>
        <x:v>0</x:v>
      </x:c>
      <x:c r="R72" t="str">
        <x:f>IF(OR(P72="",$B$2="",$F$2="",P72&lt;$B$2,P72&gt;$F$2),"",IF(Q72=0,0,IF(P72&lt;$G$7,0,IF(P72&gt;=INDEX($G$7:$G$106,Q72),Q72,MATCH(P72,$G$7:$G$106,1)))))</x:f>
      </x:c>
      <x:c r="S72" t="str">
        <x:f>IF(R72="","",IF(R72=0,$B$2,INDEX($G$7:$G$106,R72)))</x:f>
      </x:c>
      <x:c r="T72" s="14" t="str">
        <x:f>IF(R72="","",IF(R72=0,0,INDEX($H$7:$H$106,R72)))</x:f>
      </x:c>
      <x:c r="U72" t="str">
        <x:f>IF(R72="","",IF(Q72=0,$F$2,IF(R72=0,$G$7,IF(R72&lt;Q72,INDEX($G$7:$G$106,R72+1),$F$2))))</x:f>
      </x:c>
      <x:c r="V72" s="14" t="str">
        <x:f>IF(R72="","",IF(Q72=0,$H$2,IF(R72=0,$H$7,IF(R72&lt;Q72,INDEX($H$7:$H$106,R72+1),$H$2))))</x:f>
      </x:c>
      <x:c r="W72" s="188" t="str">
        <x:f>IF(R72="","",IF(U72=S72,1,MAX(0,MIN(1,(P72-S72)/(U72-S72)))))</x:f>
      </x:c>
    </x:row>
    <x:row r="73">
      <x:c r="A73" s="159" t="str">
        <x:f>IF(OR(A72="",A72&gt;=$D$2),"",A72+1)</x:f>
      </x:c>
      <x:c r="B73" s="162" t="str">
        <x:f>IF(A73="","",IFERROR(SUMPRODUCT(--('Project Plan'!$A$7:$A$206&lt;&gt;""),('Project Plan'!$P$7:$P$206+('Project Plan'!$P$7:$P$206="")),--('Project Plan'!$F$7:$F$206&lt;&gt;""),--('Project Plan'!$G$7:$G$206&lt;&gt;""),((A73&gt;='Project Plan'!$G$7:$G$206)+((A73&gt;='Project Plan'!$F$7:$F$206)*(A73&lt;'Project Plan'!$G$7:$G$206)*(A73-'Project Plan'!$F$7:$F$206+1)/('Project Plan'!$G$7:$G$206-'Project Plan'!$F$7:$F$206+1))))/SUMPRODUCT(--('Project Plan'!$A$7:$A$206&lt;&gt;""),('Project Plan'!$P$7:$P$206+('Project Plan'!$P$7:$P$206=""))),0))</x:f>
      </x:c>
      <x:c r="C73" s="162" t="str">
        <x:f>IF(A73="","",IF(A73&gt;$F$2,"",IF(A73=$F$2,$H$2,IFERROR(LOOKUP(2,1/(($G$7:$G$106&lt;&gt;"")*($G$7:$G$106&lt;=A73)),$H$7:$H$106),""))))</x:f>
      </x:c>
      <x:c r="D73" s="162" t="str">
        <x:f>IF(C73="","",C73-B73)</x:f>
      </x:c>
      <x:c r="E73" s="163" t="str">
        <x:f>IF(D73="","",IF(D73&gt;=0,"On / Ahead",IF(D73&gt;=-0.05,"Watch","Behind")))</x:f>
      </x:c>
      <x:c r="G73" s="167"/>
      <x:c r="H73" s="168"/>
      <x:c r="I73" s="170"/>
      <x:c r="J73"/>
      <x:c r="K73"/>
      <x:c r="L73"/>
      <x:c r="M73" t="str">
        <x:f>IF(A73="","",TEXT(A73,"mmm d"))</x:f>
      </x:c>
      <x:c r="N73" s="14" t="e">
        <x:f>IF(B73="",NA(),B73)</x:f>
        <x:v>#N/A</x:v>
      </x:c>
      <x:c r="O73" s="14" t="e">
        <x:f>IF(OR(P73="",$B$2="",$F$2="",P73&lt;$B$2,P73&gt;$F$2),NA(),IF(Q73=0,IF($F$2=$B$2,$H$2,MAX(0,MIN(1,$H$2*(3*MAX(0,MIN(1,(P73-$B$2)/($F$2-$B$2)))^2-2*MAX(0,MIN(1,(P73-$B$2)/($F$2-$B$2)))^3)))),MAX(0,MIN(1,T73+(V73-T73)*(3*W73^2-2*W73^3)))))</x:f>
        <x:v>#N/A</x:v>
      </x:c>
      <x:c r="P73" s="189" t="str">
        <x:f>A73</x:f>
      </x:c>
      <x:c r="Q73" t="n">
        <x:f>COUNT($G$7:$G$106)</x:f>
        <x:v>0</x:v>
      </x:c>
      <x:c r="R73" t="str">
        <x:f>IF(OR(P73="",$B$2="",$F$2="",P73&lt;$B$2,P73&gt;$F$2),"",IF(Q73=0,0,IF(P73&lt;$G$7,0,IF(P73&gt;=INDEX($G$7:$G$106,Q73),Q73,MATCH(P73,$G$7:$G$106,1)))))</x:f>
      </x:c>
      <x:c r="S73" t="str">
        <x:f>IF(R73="","",IF(R73=0,$B$2,INDEX($G$7:$G$106,R73)))</x:f>
      </x:c>
      <x:c r="T73" s="14" t="str">
        <x:f>IF(R73="","",IF(R73=0,0,INDEX($H$7:$H$106,R73)))</x:f>
      </x:c>
      <x:c r="U73" t="str">
        <x:f>IF(R73="","",IF(Q73=0,$F$2,IF(R73=0,$G$7,IF(R73&lt;Q73,INDEX($G$7:$G$106,R73+1),$F$2))))</x:f>
      </x:c>
      <x:c r="V73" s="14" t="str">
        <x:f>IF(R73="","",IF(Q73=0,$H$2,IF(R73=0,$H$7,IF(R73&lt;Q73,INDEX($H$7:$H$106,R73+1),$H$2))))</x:f>
      </x:c>
      <x:c r="W73" s="188" t="str">
        <x:f>IF(R73="","",IF(U73=S73,1,MAX(0,MIN(1,(P73-S73)/(U73-S73)))))</x:f>
      </x:c>
    </x:row>
    <x:row r="74">
      <x:c r="A74" s="159" t="str">
        <x:f>IF(OR(A73="",A73&gt;=$D$2),"",A73+1)</x:f>
      </x:c>
      <x:c r="B74" s="162" t="str">
        <x:f>IF(A74="","",IFERROR(SUMPRODUCT(--('Project Plan'!$A$7:$A$206&lt;&gt;""),('Project Plan'!$P$7:$P$206+('Project Plan'!$P$7:$P$206="")),--('Project Plan'!$F$7:$F$206&lt;&gt;""),--('Project Plan'!$G$7:$G$206&lt;&gt;""),((A74&gt;='Project Plan'!$G$7:$G$206)+((A74&gt;='Project Plan'!$F$7:$F$206)*(A74&lt;'Project Plan'!$G$7:$G$206)*(A74-'Project Plan'!$F$7:$F$206+1)/('Project Plan'!$G$7:$G$206-'Project Plan'!$F$7:$F$206+1))))/SUMPRODUCT(--('Project Plan'!$A$7:$A$206&lt;&gt;""),('Project Plan'!$P$7:$P$206+('Project Plan'!$P$7:$P$206=""))),0))</x:f>
      </x:c>
      <x:c r="C74" s="162" t="str">
        <x:f>IF(A74="","",IF(A74&gt;$F$2,"",IF(A74=$F$2,$H$2,IFERROR(LOOKUP(2,1/(($G$7:$G$106&lt;&gt;"")*($G$7:$G$106&lt;=A74)),$H$7:$H$106),""))))</x:f>
      </x:c>
      <x:c r="D74" s="162" t="str">
        <x:f>IF(C74="","",C74-B74)</x:f>
      </x:c>
      <x:c r="E74" s="163" t="str">
        <x:f>IF(D74="","",IF(D74&gt;=0,"On / Ahead",IF(D74&gt;=-0.05,"Watch","Behind")))</x:f>
      </x:c>
      <x:c r="G74" s="167"/>
      <x:c r="H74" s="168"/>
      <x:c r="I74" s="170"/>
      <x:c r="J74"/>
      <x:c r="K74"/>
      <x:c r="L74"/>
      <x:c r="M74" t="str">
        <x:f>IF(A74="","",TEXT(A74,"mmm d"))</x:f>
      </x:c>
      <x:c r="N74" s="14" t="e">
        <x:f>IF(B74="",NA(),B74)</x:f>
        <x:v>#N/A</x:v>
      </x:c>
      <x:c r="O74" s="14" t="e">
        <x:f>IF(OR(P74="",$B$2="",$F$2="",P74&lt;$B$2,P74&gt;$F$2),NA(),IF(Q74=0,IF($F$2=$B$2,$H$2,MAX(0,MIN(1,$H$2*(3*MAX(0,MIN(1,(P74-$B$2)/($F$2-$B$2)))^2-2*MAX(0,MIN(1,(P74-$B$2)/($F$2-$B$2)))^3)))),MAX(0,MIN(1,T74+(V74-T74)*(3*W74^2-2*W74^3)))))</x:f>
        <x:v>#N/A</x:v>
      </x:c>
      <x:c r="P74" s="189" t="str">
        <x:f>A74</x:f>
      </x:c>
      <x:c r="Q74" t="n">
        <x:f>COUNT($G$7:$G$106)</x:f>
        <x:v>0</x:v>
      </x:c>
      <x:c r="R74" t="str">
        <x:f>IF(OR(P74="",$B$2="",$F$2="",P74&lt;$B$2,P74&gt;$F$2),"",IF(Q74=0,0,IF(P74&lt;$G$7,0,IF(P74&gt;=INDEX($G$7:$G$106,Q74),Q74,MATCH(P74,$G$7:$G$106,1)))))</x:f>
      </x:c>
      <x:c r="S74" t="str">
        <x:f>IF(R74="","",IF(R74=0,$B$2,INDEX($G$7:$G$106,R74)))</x:f>
      </x:c>
      <x:c r="T74" s="14" t="str">
        <x:f>IF(R74="","",IF(R74=0,0,INDEX($H$7:$H$106,R74)))</x:f>
      </x:c>
      <x:c r="U74" t="str">
        <x:f>IF(R74="","",IF(Q74=0,$F$2,IF(R74=0,$G$7,IF(R74&lt;Q74,INDEX($G$7:$G$106,R74+1),$F$2))))</x:f>
      </x:c>
      <x:c r="V74" s="14" t="str">
        <x:f>IF(R74="","",IF(Q74=0,$H$2,IF(R74=0,$H$7,IF(R74&lt;Q74,INDEX($H$7:$H$106,R74+1),$H$2))))</x:f>
      </x:c>
      <x:c r="W74" s="188" t="str">
        <x:f>IF(R74="","",IF(U74=S74,1,MAX(0,MIN(1,(P74-S74)/(U74-S74)))))</x:f>
      </x:c>
    </x:row>
    <x:row r="75">
      <x:c r="A75" s="159" t="str">
        <x:f>IF(OR(A74="",A74&gt;=$D$2),"",A74+1)</x:f>
      </x:c>
      <x:c r="B75" s="162" t="str">
        <x:f>IF(A75="","",IFERROR(SUMPRODUCT(--('Project Plan'!$A$7:$A$206&lt;&gt;""),('Project Plan'!$P$7:$P$206+('Project Plan'!$P$7:$P$206="")),--('Project Plan'!$F$7:$F$206&lt;&gt;""),--('Project Plan'!$G$7:$G$206&lt;&gt;""),((A75&gt;='Project Plan'!$G$7:$G$206)+((A75&gt;='Project Plan'!$F$7:$F$206)*(A75&lt;'Project Plan'!$G$7:$G$206)*(A75-'Project Plan'!$F$7:$F$206+1)/('Project Plan'!$G$7:$G$206-'Project Plan'!$F$7:$F$206+1))))/SUMPRODUCT(--('Project Plan'!$A$7:$A$206&lt;&gt;""),('Project Plan'!$P$7:$P$206+('Project Plan'!$P$7:$P$206=""))),0))</x:f>
      </x:c>
      <x:c r="C75" s="162" t="str">
        <x:f>IF(A75="","",IF(A75&gt;$F$2,"",IF(A75=$F$2,$H$2,IFERROR(LOOKUP(2,1/(($G$7:$G$106&lt;&gt;"")*($G$7:$G$106&lt;=A75)),$H$7:$H$106),""))))</x:f>
      </x:c>
      <x:c r="D75" s="162" t="str">
        <x:f>IF(C75="","",C75-B75)</x:f>
      </x:c>
      <x:c r="E75" s="163" t="str">
        <x:f>IF(D75="","",IF(D75&gt;=0,"On / Ahead",IF(D75&gt;=-0.05,"Watch","Behind")))</x:f>
      </x:c>
      <x:c r="G75" s="167"/>
      <x:c r="H75" s="168"/>
      <x:c r="I75" s="170"/>
      <x:c r="J75"/>
      <x:c r="K75"/>
      <x:c r="L75"/>
      <x:c r="M75" t="str">
        <x:f>IF(A75="","",TEXT(A75,"mmm d"))</x:f>
      </x:c>
      <x:c r="N75" s="14" t="e">
        <x:f>IF(B75="",NA(),B75)</x:f>
        <x:v>#N/A</x:v>
      </x:c>
      <x:c r="O75" s="14" t="e">
        <x:f>IF(OR(P75="",$B$2="",$F$2="",P75&lt;$B$2,P75&gt;$F$2),NA(),IF(Q75=0,IF($F$2=$B$2,$H$2,MAX(0,MIN(1,$H$2*(3*MAX(0,MIN(1,(P75-$B$2)/($F$2-$B$2)))^2-2*MAX(0,MIN(1,(P75-$B$2)/($F$2-$B$2)))^3)))),MAX(0,MIN(1,T75+(V75-T75)*(3*W75^2-2*W75^3)))))</x:f>
        <x:v>#N/A</x:v>
      </x:c>
      <x:c r="P75" s="189" t="str">
        <x:f>A75</x:f>
      </x:c>
      <x:c r="Q75" t="n">
        <x:f>COUNT($G$7:$G$106)</x:f>
        <x:v>0</x:v>
      </x:c>
      <x:c r="R75" t="str">
        <x:f>IF(OR(P75="",$B$2="",$F$2="",P75&lt;$B$2,P75&gt;$F$2),"",IF(Q75=0,0,IF(P75&lt;$G$7,0,IF(P75&gt;=INDEX($G$7:$G$106,Q75),Q75,MATCH(P75,$G$7:$G$106,1)))))</x:f>
      </x:c>
      <x:c r="S75" t="str">
        <x:f>IF(R75="","",IF(R75=0,$B$2,INDEX($G$7:$G$106,R75)))</x:f>
      </x:c>
      <x:c r="T75" s="14" t="str">
        <x:f>IF(R75="","",IF(R75=0,0,INDEX($H$7:$H$106,R75)))</x:f>
      </x:c>
      <x:c r="U75" t="str">
        <x:f>IF(R75="","",IF(Q75=0,$F$2,IF(R75=0,$G$7,IF(R75&lt;Q75,INDEX($G$7:$G$106,R75+1),$F$2))))</x:f>
      </x:c>
      <x:c r="V75" s="14" t="str">
        <x:f>IF(R75="","",IF(Q75=0,$H$2,IF(R75=0,$H$7,IF(R75&lt;Q75,INDEX($H$7:$H$106,R75+1),$H$2))))</x:f>
      </x:c>
      <x:c r="W75" s="188" t="str">
        <x:f>IF(R75="","",IF(U75=S75,1,MAX(0,MIN(1,(P75-S75)/(U75-S75)))))</x:f>
      </x:c>
    </x:row>
    <x:row r="76">
      <x:c r="A76" s="159" t="str">
        <x:f>IF(OR(A75="",A75&gt;=$D$2),"",A75+1)</x:f>
      </x:c>
      <x:c r="B76" s="162" t="str">
        <x:f>IF(A76="","",IFERROR(SUMPRODUCT(--('Project Plan'!$A$7:$A$206&lt;&gt;""),('Project Plan'!$P$7:$P$206+('Project Plan'!$P$7:$P$206="")),--('Project Plan'!$F$7:$F$206&lt;&gt;""),--('Project Plan'!$G$7:$G$206&lt;&gt;""),((A76&gt;='Project Plan'!$G$7:$G$206)+((A76&gt;='Project Plan'!$F$7:$F$206)*(A76&lt;'Project Plan'!$G$7:$G$206)*(A76-'Project Plan'!$F$7:$F$206+1)/('Project Plan'!$G$7:$G$206-'Project Plan'!$F$7:$F$206+1))))/SUMPRODUCT(--('Project Plan'!$A$7:$A$206&lt;&gt;""),('Project Plan'!$P$7:$P$206+('Project Plan'!$P$7:$P$206=""))),0))</x:f>
      </x:c>
      <x:c r="C76" s="162" t="str">
        <x:f>IF(A76="","",IF(A76&gt;$F$2,"",IF(A76=$F$2,$H$2,IFERROR(LOOKUP(2,1/(($G$7:$G$106&lt;&gt;"")*($G$7:$G$106&lt;=A76)),$H$7:$H$106),""))))</x:f>
      </x:c>
      <x:c r="D76" s="162" t="str">
        <x:f>IF(C76="","",C76-B76)</x:f>
      </x:c>
      <x:c r="E76" s="163" t="str">
        <x:f>IF(D76="","",IF(D76&gt;=0,"On / Ahead",IF(D76&gt;=-0.05,"Watch","Behind")))</x:f>
      </x:c>
      <x:c r="G76" s="167"/>
      <x:c r="H76" s="168"/>
      <x:c r="I76" s="170"/>
      <x:c r="J76"/>
      <x:c r="K76"/>
      <x:c r="L76"/>
      <x:c r="M76" t="str">
        <x:f>IF(A76="","",TEXT(A76,"mmm d"))</x:f>
      </x:c>
      <x:c r="N76" s="14" t="e">
        <x:f>IF(B76="",NA(),B76)</x:f>
        <x:v>#N/A</x:v>
      </x:c>
      <x:c r="O76" s="14" t="e">
        <x:f>IF(OR(P76="",$B$2="",$F$2="",P76&lt;$B$2,P76&gt;$F$2),NA(),IF(Q76=0,IF($F$2=$B$2,$H$2,MAX(0,MIN(1,$H$2*(3*MAX(0,MIN(1,(P76-$B$2)/($F$2-$B$2)))^2-2*MAX(0,MIN(1,(P76-$B$2)/($F$2-$B$2)))^3)))),MAX(0,MIN(1,T76+(V76-T76)*(3*W76^2-2*W76^3)))))</x:f>
        <x:v>#N/A</x:v>
      </x:c>
      <x:c r="P76" s="189" t="str">
        <x:f>A76</x:f>
      </x:c>
      <x:c r="Q76" t="n">
        <x:f>COUNT($G$7:$G$106)</x:f>
        <x:v>0</x:v>
      </x:c>
      <x:c r="R76" t="str">
        <x:f>IF(OR(P76="",$B$2="",$F$2="",P76&lt;$B$2,P76&gt;$F$2),"",IF(Q76=0,0,IF(P76&lt;$G$7,0,IF(P76&gt;=INDEX($G$7:$G$106,Q76),Q76,MATCH(P76,$G$7:$G$106,1)))))</x:f>
      </x:c>
      <x:c r="S76" t="str">
        <x:f>IF(R76="","",IF(R76=0,$B$2,INDEX($G$7:$G$106,R76)))</x:f>
      </x:c>
      <x:c r="T76" s="14" t="str">
        <x:f>IF(R76="","",IF(R76=0,0,INDEX($H$7:$H$106,R76)))</x:f>
      </x:c>
      <x:c r="U76" t="str">
        <x:f>IF(R76="","",IF(Q76=0,$F$2,IF(R76=0,$G$7,IF(R76&lt;Q76,INDEX($G$7:$G$106,R76+1),$F$2))))</x:f>
      </x:c>
      <x:c r="V76" s="14" t="str">
        <x:f>IF(R76="","",IF(Q76=0,$H$2,IF(R76=0,$H$7,IF(R76&lt;Q76,INDEX($H$7:$H$106,R76+1),$H$2))))</x:f>
      </x:c>
      <x:c r="W76" s="188" t="str">
        <x:f>IF(R76="","",IF(U76=S76,1,MAX(0,MIN(1,(P76-S76)/(U76-S76)))))</x:f>
      </x:c>
    </x:row>
    <x:row r="77">
      <x:c r="A77" s="159" t="str">
        <x:f>IF(OR(A76="",A76&gt;=$D$2),"",A76+1)</x:f>
      </x:c>
      <x:c r="B77" s="162" t="str">
        <x:f>IF(A77="","",IFERROR(SUMPRODUCT(--('Project Plan'!$A$7:$A$206&lt;&gt;""),('Project Plan'!$P$7:$P$206+('Project Plan'!$P$7:$P$206="")),--('Project Plan'!$F$7:$F$206&lt;&gt;""),--('Project Plan'!$G$7:$G$206&lt;&gt;""),((A77&gt;='Project Plan'!$G$7:$G$206)+((A77&gt;='Project Plan'!$F$7:$F$206)*(A77&lt;'Project Plan'!$G$7:$G$206)*(A77-'Project Plan'!$F$7:$F$206+1)/('Project Plan'!$G$7:$G$206-'Project Plan'!$F$7:$F$206+1))))/SUMPRODUCT(--('Project Plan'!$A$7:$A$206&lt;&gt;""),('Project Plan'!$P$7:$P$206+('Project Plan'!$P$7:$P$206=""))),0))</x:f>
      </x:c>
      <x:c r="C77" s="162" t="str">
        <x:f>IF(A77="","",IF(A77&gt;$F$2,"",IF(A77=$F$2,$H$2,IFERROR(LOOKUP(2,1/(($G$7:$G$106&lt;&gt;"")*($G$7:$G$106&lt;=A77)),$H$7:$H$106),""))))</x:f>
      </x:c>
      <x:c r="D77" s="162" t="str">
        <x:f>IF(C77="","",C77-B77)</x:f>
      </x:c>
      <x:c r="E77" s="163" t="str">
        <x:f>IF(D77="","",IF(D77&gt;=0,"On / Ahead",IF(D77&gt;=-0.05,"Watch","Behind")))</x:f>
      </x:c>
      <x:c r="G77" s="167"/>
      <x:c r="H77" s="168"/>
      <x:c r="I77" s="170"/>
      <x:c r="J77"/>
      <x:c r="K77"/>
      <x:c r="L77"/>
      <x:c r="M77" t="str">
        <x:f>IF(A77="","",TEXT(A77,"mmm d"))</x:f>
      </x:c>
      <x:c r="N77" s="14" t="e">
        <x:f>IF(B77="",NA(),B77)</x:f>
        <x:v>#N/A</x:v>
      </x:c>
      <x:c r="O77" s="14" t="e">
        <x:f>IF(OR(P77="",$B$2="",$F$2="",P77&lt;$B$2,P77&gt;$F$2),NA(),IF(Q77=0,IF($F$2=$B$2,$H$2,MAX(0,MIN(1,$H$2*(3*MAX(0,MIN(1,(P77-$B$2)/($F$2-$B$2)))^2-2*MAX(0,MIN(1,(P77-$B$2)/($F$2-$B$2)))^3)))),MAX(0,MIN(1,T77+(V77-T77)*(3*W77^2-2*W77^3)))))</x:f>
        <x:v>#N/A</x:v>
      </x:c>
      <x:c r="P77" s="189" t="str">
        <x:f>A77</x:f>
      </x:c>
      <x:c r="Q77" t="n">
        <x:f>COUNT($G$7:$G$106)</x:f>
        <x:v>0</x:v>
      </x:c>
      <x:c r="R77" t="str">
        <x:f>IF(OR(P77="",$B$2="",$F$2="",P77&lt;$B$2,P77&gt;$F$2),"",IF(Q77=0,0,IF(P77&lt;$G$7,0,IF(P77&gt;=INDEX($G$7:$G$106,Q77),Q77,MATCH(P77,$G$7:$G$106,1)))))</x:f>
      </x:c>
      <x:c r="S77" t="str">
        <x:f>IF(R77="","",IF(R77=0,$B$2,INDEX($G$7:$G$106,R77)))</x:f>
      </x:c>
      <x:c r="T77" s="14" t="str">
        <x:f>IF(R77="","",IF(R77=0,0,INDEX($H$7:$H$106,R77)))</x:f>
      </x:c>
      <x:c r="U77" t="str">
        <x:f>IF(R77="","",IF(Q77=0,$F$2,IF(R77=0,$G$7,IF(R77&lt;Q77,INDEX($G$7:$G$106,R77+1),$F$2))))</x:f>
      </x:c>
      <x:c r="V77" s="14" t="str">
        <x:f>IF(R77="","",IF(Q77=0,$H$2,IF(R77=0,$H$7,IF(R77&lt;Q77,INDEX($H$7:$H$106,R77+1),$H$2))))</x:f>
      </x:c>
      <x:c r="W77" s="188" t="str">
        <x:f>IF(R77="","",IF(U77=S77,1,MAX(0,MIN(1,(P77-S77)/(U77-S77)))))</x:f>
      </x:c>
    </x:row>
    <x:row r="78">
      <x:c r="A78" s="159" t="str">
        <x:f>IF(OR(A77="",A77&gt;=$D$2),"",A77+1)</x:f>
      </x:c>
      <x:c r="B78" s="162" t="str">
        <x:f>IF(A78="","",IFERROR(SUMPRODUCT(--('Project Plan'!$A$7:$A$206&lt;&gt;""),('Project Plan'!$P$7:$P$206+('Project Plan'!$P$7:$P$206="")),--('Project Plan'!$F$7:$F$206&lt;&gt;""),--('Project Plan'!$G$7:$G$206&lt;&gt;""),((A78&gt;='Project Plan'!$G$7:$G$206)+((A78&gt;='Project Plan'!$F$7:$F$206)*(A78&lt;'Project Plan'!$G$7:$G$206)*(A78-'Project Plan'!$F$7:$F$206+1)/('Project Plan'!$G$7:$G$206-'Project Plan'!$F$7:$F$206+1))))/SUMPRODUCT(--('Project Plan'!$A$7:$A$206&lt;&gt;""),('Project Plan'!$P$7:$P$206+('Project Plan'!$P$7:$P$206=""))),0))</x:f>
      </x:c>
      <x:c r="C78" s="162" t="str">
        <x:f>IF(A78="","",IF(A78&gt;$F$2,"",IF(A78=$F$2,$H$2,IFERROR(LOOKUP(2,1/(($G$7:$G$106&lt;&gt;"")*($G$7:$G$106&lt;=A78)),$H$7:$H$106),""))))</x:f>
      </x:c>
      <x:c r="D78" s="162" t="str">
        <x:f>IF(C78="","",C78-B78)</x:f>
      </x:c>
      <x:c r="E78" s="163" t="str">
        <x:f>IF(D78="","",IF(D78&gt;=0,"On / Ahead",IF(D78&gt;=-0.05,"Watch","Behind")))</x:f>
      </x:c>
      <x:c r="G78" s="167"/>
      <x:c r="H78" s="168"/>
      <x:c r="I78" s="170"/>
      <x:c r="J78"/>
      <x:c r="K78"/>
      <x:c r="L78"/>
      <x:c r="M78" t="str">
        <x:f>IF(A78="","",TEXT(A78,"mmm d"))</x:f>
      </x:c>
      <x:c r="N78" s="14" t="e">
        <x:f>IF(B78="",NA(),B78)</x:f>
        <x:v>#N/A</x:v>
      </x:c>
      <x:c r="O78" s="14" t="e">
        <x:f>IF(OR(P78="",$B$2="",$F$2="",P78&lt;$B$2,P78&gt;$F$2),NA(),IF(Q78=0,IF($F$2=$B$2,$H$2,MAX(0,MIN(1,$H$2*(3*MAX(0,MIN(1,(P78-$B$2)/($F$2-$B$2)))^2-2*MAX(0,MIN(1,(P78-$B$2)/($F$2-$B$2)))^3)))),MAX(0,MIN(1,T78+(V78-T78)*(3*W78^2-2*W78^3)))))</x:f>
        <x:v>#N/A</x:v>
      </x:c>
      <x:c r="P78" s="189" t="str">
        <x:f>A78</x:f>
      </x:c>
      <x:c r="Q78" t="n">
        <x:f>COUNT($G$7:$G$106)</x:f>
        <x:v>0</x:v>
      </x:c>
      <x:c r="R78" t="str">
        <x:f>IF(OR(P78="",$B$2="",$F$2="",P78&lt;$B$2,P78&gt;$F$2),"",IF(Q78=0,0,IF(P78&lt;$G$7,0,IF(P78&gt;=INDEX($G$7:$G$106,Q78),Q78,MATCH(P78,$G$7:$G$106,1)))))</x:f>
      </x:c>
      <x:c r="S78" t="str">
        <x:f>IF(R78="","",IF(R78=0,$B$2,INDEX($G$7:$G$106,R78)))</x:f>
      </x:c>
      <x:c r="T78" s="14" t="str">
        <x:f>IF(R78="","",IF(R78=0,0,INDEX($H$7:$H$106,R78)))</x:f>
      </x:c>
      <x:c r="U78" t="str">
        <x:f>IF(R78="","",IF(Q78=0,$F$2,IF(R78=0,$G$7,IF(R78&lt;Q78,INDEX($G$7:$G$106,R78+1),$F$2))))</x:f>
      </x:c>
      <x:c r="V78" s="14" t="str">
        <x:f>IF(R78="","",IF(Q78=0,$H$2,IF(R78=0,$H$7,IF(R78&lt;Q78,INDEX($H$7:$H$106,R78+1),$H$2))))</x:f>
      </x:c>
      <x:c r="W78" s="188" t="str">
        <x:f>IF(R78="","",IF(U78=S78,1,MAX(0,MIN(1,(P78-S78)/(U78-S78)))))</x:f>
      </x:c>
    </x:row>
    <x:row r="79">
      <x:c r="A79" s="159" t="str">
        <x:f>IF(OR(A78="",A78&gt;=$D$2),"",A78+1)</x:f>
      </x:c>
      <x:c r="B79" s="162" t="str">
        <x:f>IF(A79="","",IFERROR(SUMPRODUCT(--('Project Plan'!$A$7:$A$206&lt;&gt;""),('Project Plan'!$P$7:$P$206+('Project Plan'!$P$7:$P$206="")),--('Project Plan'!$F$7:$F$206&lt;&gt;""),--('Project Plan'!$G$7:$G$206&lt;&gt;""),((A79&gt;='Project Plan'!$G$7:$G$206)+((A79&gt;='Project Plan'!$F$7:$F$206)*(A79&lt;'Project Plan'!$G$7:$G$206)*(A79-'Project Plan'!$F$7:$F$206+1)/('Project Plan'!$G$7:$G$206-'Project Plan'!$F$7:$F$206+1))))/SUMPRODUCT(--('Project Plan'!$A$7:$A$206&lt;&gt;""),('Project Plan'!$P$7:$P$206+('Project Plan'!$P$7:$P$206=""))),0))</x:f>
      </x:c>
      <x:c r="C79" s="162" t="str">
        <x:f>IF(A79="","",IF(A79&gt;$F$2,"",IF(A79=$F$2,$H$2,IFERROR(LOOKUP(2,1/(($G$7:$G$106&lt;&gt;"")*($G$7:$G$106&lt;=A79)),$H$7:$H$106),""))))</x:f>
      </x:c>
      <x:c r="D79" s="162" t="str">
        <x:f>IF(C79="","",C79-B79)</x:f>
      </x:c>
      <x:c r="E79" s="163" t="str">
        <x:f>IF(D79="","",IF(D79&gt;=0,"On / Ahead",IF(D79&gt;=-0.05,"Watch","Behind")))</x:f>
      </x:c>
      <x:c r="G79" s="167"/>
      <x:c r="H79" s="168"/>
      <x:c r="I79" s="170"/>
      <x:c r="J79"/>
      <x:c r="K79"/>
      <x:c r="L79"/>
      <x:c r="M79" t="str">
        <x:f>IF(A79="","",TEXT(A79,"mmm d"))</x:f>
      </x:c>
      <x:c r="N79" s="14" t="e">
        <x:f>IF(B79="",NA(),B79)</x:f>
        <x:v>#N/A</x:v>
      </x:c>
      <x:c r="O79" s="14" t="e">
        <x:f>IF(OR(P79="",$B$2="",$F$2="",P79&lt;$B$2,P79&gt;$F$2),NA(),IF(Q79=0,IF($F$2=$B$2,$H$2,MAX(0,MIN(1,$H$2*(3*MAX(0,MIN(1,(P79-$B$2)/($F$2-$B$2)))^2-2*MAX(0,MIN(1,(P79-$B$2)/($F$2-$B$2)))^3)))),MAX(0,MIN(1,T79+(V79-T79)*(3*W79^2-2*W79^3)))))</x:f>
        <x:v>#N/A</x:v>
      </x:c>
      <x:c r="P79" s="189" t="str">
        <x:f>A79</x:f>
      </x:c>
      <x:c r="Q79" t="n">
        <x:f>COUNT($G$7:$G$106)</x:f>
        <x:v>0</x:v>
      </x:c>
      <x:c r="R79" t="str">
        <x:f>IF(OR(P79="",$B$2="",$F$2="",P79&lt;$B$2,P79&gt;$F$2),"",IF(Q79=0,0,IF(P79&lt;$G$7,0,IF(P79&gt;=INDEX($G$7:$G$106,Q79),Q79,MATCH(P79,$G$7:$G$106,1)))))</x:f>
      </x:c>
      <x:c r="S79" t="str">
        <x:f>IF(R79="","",IF(R79=0,$B$2,INDEX($G$7:$G$106,R79)))</x:f>
      </x:c>
      <x:c r="T79" s="14" t="str">
        <x:f>IF(R79="","",IF(R79=0,0,INDEX($H$7:$H$106,R79)))</x:f>
      </x:c>
      <x:c r="U79" t="str">
        <x:f>IF(R79="","",IF(Q79=0,$F$2,IF(R79=0,$G$7,IF(R79&lt;Q79,INDEX($G$7:$G$106,R79+1),$F$2))))</x:f>
      </x:c>
      <x:c r="V79" s="14" t="str">
        <x:f>IF(R79="","",IF(Q79=0,$H$2,IF(R79=0,$H$7,IF(R79&lt;Q79,INDEX($H$7:$H$106,R79+1),$H$2))))</x:f>
      </x:c>
      <x:c r="W79" s="188" t="str">
        <x:f>IF(R79="","",IF(U79=S79,1,MAX(0,MIN(1,(P79-S79)/(U79-S79)))))</x:f>
      </x:c>
    </x:row>
    <x:row r="80">
      <x:c r="A80" s="159" t="str">
        <x:f>IF(OR(A79="",A79&gt;=$D$2),"",A79+1)</x:f>
      </x:c>
      <x:c r="B80" s="162" t="str">
        <x:f>IF(A80="","",IFERROR(SUMPRODUCT(--('Project Plan'!$A$7:$A$206&lt;&gt;""),('Project Plan'!$P$7:$P$206+('Project Plan'!$P$7:$P$206="")),--('Project Plan'!$F$7:$F$206&lt;&gt;""),--('Project Plan'!$G$7:$G$206&lt;&gt;""),((A80&gt;='Project Plan'!$G$7:$G$206)+((A80&gt;='Project Plan'!$F$7:$F$206)*(A80&lt;'Project Plan'!$G$7:$G$206)*(A80-'Project Plan'!$F$7:$F$206+1)/('Project Plan'!$G$7:$G$206-'Project Plan'!$F$7:$F$206+1))))/SUMPRODUCT(--('Project Plan'!$A$7:$A$206&lt;&gt;""),('Project Plan'!$P$7:$P$206+('Project Plan'!$P$7:$P$206=""))),0))</x:f>
      </x:c>
      <x:c r="C80" s="162" t="str">
        <x:f>IF(A80="","",IF(A80&gt;$F$2,"",IF(A80=$F$2,$H$2,IFERROR(LOOKUP(2,1/(($G$7:$G$106&lt;&gt;"")*($G$7:$G$106&lt;=A80)),$H$7:$H$106),""))))</x:f>
      </x:c>
      <x:c r="D80" s="162" t="str">
        <x:f>IF(C80="","",C80-B80)</x:f>
      </x:c>
      <x:c r="E80" s="163" t="str">
        <x:f>IF(D80="","",IF(D80&gt;=0,"On / Ahead",IF(D80&gt;=-0.05,"Watch","Behind")))</x:f>
      </x:c>
      <x:c r="G80" s="167"/>
      <x:c r="H80" s="168"/>
      <x:c r="I80" s="170"/>
      <x:c r="J80"/>
      <x:c r="K80"/>
      <x:c r="L80"/>
      <x:c r="M80" t="str">
        <x:f>IF(A80="","",TEXT(A80,"mmm d"))</x:f>
      </x:c>
      <x:c r="N80" s="14" t="e">
        <x:f>IF(B80="",NA(),B80)</x:f>
        <x:v>#N/A</x:v>
      </x:c>
      <x:c r="O80" s="14" t="e">
        <x:f>IF(OR(P80="",$B$2="",$F$2="",P80&lt;$B$2,P80&gt;$F$2),NA(),IF(Q80=0,IF($F$2=$B$2,$H$2,MAX(0,MIN(1,$H$2*(3*MAX(0,MIN(1,(P80-$B$2)/($F$2-$B$2)))^2-2*MAX(0,MIN(1,(P80-$B$2)/($F$2-$B$2)))^3)))),MAX(0,MIN(1,T80+(V80-T80)*(3*W80^2-2*W80^3)))))</x:f>
        <x:v>#N/A</x:v>
      </x:c>
      <x:c r="P80" s="189" t="str">
        <x:f>A80</x:f>
      </x:c>
      <x:c r="Q80" t="n">
        <x:f>COUNT($G$7:$G$106)</x:f>
        <x:v>0</x:v>
      </x:c>
      <x:c r="R80" t="str">
        <x:f>IF(OR(P80="",$B$2="",$F$2="",P80&lt;$B$2,P80&gt;$F$2),"",IF(Q80=0,0,IF(P80&lt;$G$7,0,IF(P80&gt;=INDEX($G$7:$G$106,Q80),Q80,MATCH(P80,$G$7:$G$106,1)))))</x:f>
      </x:c>
      <x:c r="S80" t="str">
        <x:f>IF(R80="","",IF(R80=0,$B$2,INDEX($G$7:$G$106,R80)))</x:f>
      </x:c>
      <x:c r="T80" s="14" t="str">
        <x:f>IF(R80="","",IF(R80=0,0,INDEX($H$7:$H$106,R80)))</x:f>
      </x:c>
      <x:c r="U80" t="str">
        <x:f>IF(R80="","",IF(Q80=0,$F$2,IF(R80=0,$G$7,IF(R80&lt;Q80,INDEX($G$7:$G$106,R80+1),$F$2))))</x:f>
      </x:c>
      <x:c r="V80" s="14" t="str">
        <x:f>IF(R80="","",IF(Q80=0,$H$2,IF(R80=0,$H$7,IF(R80&lt;Q80,INDEX($H$7:$H$106,R80+1),$H$2))))</x:f>
      </x:c>
      <x:c r="W80" s="188" t="str">
        <x:f>IF(R80="","",IF(U80=S80,1,MAX(0,MIN(1,(P80-S80)/(U80-S80)))))</x:f>
      </x:c>
    </x:row>
    <x:row r="81">
      <x:c r="A81" s="159" t="str">
        <x:f>IF(OR(A80="",A80&gt;=$D$2),"",A80+1)</x:f>
      </x:c>
      <x:c r="B81" s="162" t="str">
        <x:f>IF(A81="","",IFERROR(SUMPRODUCT(--('Project Plan'!$A$7:$A$206&lt;&gt;""),('Project Plan'!$P$7:$P$206+('Project Plan'!$P$7:$P$206="")),--('Project Plan'!$F$7:$F$206&lt;&gt;""),--('Project Plan'!$G$7:$G$206&lt;&gt;""),((A81&gt;='Project Plan'!$G$7:$G$206)+((A81&gt;='Project Plan'!$F$7:$F$206)*(A81&lt;'Project Plan'!$G$7:$G$206)*(A81-'Project Plan'!$F$7:$F$206+1)/('Project Plan'!$G$7:$G$206-'Project Plan'!$F$7:$F$206+1))))/SUMPRODUCT(--('Project Plan'!$A$7:$A$206&lt;&gt;""),('Project Plan'!$P$7:$P$206+('Project Plan'!$P$7:$P$206=""))),0))</x:f>
      </x:c>
      <x:c r="C81" s="162" t="str">
        <x:f>IF(A81="","",IF(A81&gt;$F$2,"",IF(A81=$F$2,$H$2,IFERROR(LOOKUP(2,1/(($G$7:$G$106&lt;&gt;"")*($G$7:$G$106&lt;=A81)),$H$7:$H$106),""))))</x:f>
      </x:c>
      <x:c r="D81" s="162" t="str">
        <x:f>IF(C81="","",C81-B81)</x:f>
      </x:c>
      <x:c r="E81" s="163" t="str">
        <x:f>IF(D81="","",IF(D81&gt;=0,"On / Ahead",IF(D81&gt;=-0.05,"Watch","Behind")))</x:f>
      </x:c>
      <x:c r="G81" s="167"/>
      <x:c r="H81" s="168"/>
      <x:c r="I81" s="170"/>
      <x:c r="J81"/>
      <x:c r="K81"/>
      <x:c r="L81"/>
      <x:c r="M81" t="str">
        <x:f>IF(A81="","",TEXT(A81,"mmm d"))</x:f>
      </x:c>
      <x:c r="N81" s="14" t="e">
        <x:f>IF(B81="",NA(),B81)</x:f>
        <x:v>#N/A</x:v>
      </x:c>
      <x:c r="O81" s="14" t="e">
        <x:f>IF(OR(P81="",$B$2="",$F$2="",P81&lt;$B$2,P81&gt;$F$2),NA(),IF(Q81=0,IF($F$2=$B$2,$H$2,MAX(0,MIN(1,$H$2*(3*MAX(0,MIN(1,(P81-$B$2)/($F$2-$B$2)))^2-2*MAX(0,MIN(1,(P81-$B$2)/($F$2-$B$2)))^3)))),MAX(0,MIN(1,T81+(V81-T81)*(3*W81^2-2*W81^3)))))</x:f>
        <x:v>#N/A</x:v>
      </x:c>
      <x:c r="P81" s="189" t="str">
        <x:f>A81</x:f>
      </x:c>
      <x:c r="Q81" t="n">
        <x:f>COUNT($G$7:$G$106)</x:f>
        <x:v>0</x:v>
      </x:c>
      <x:c r="R81" t="str">
        <x:f>IF(OR(P81="",$B$2="",$F$2="",P81&lt;$B$2,P81&gt;$F$2),"",IF(Q81=0,0,IF(P81&lt;$G$7,0,IF(P81&gt;=INDEX($G$7:$G$106,Q81),Q81,MATCH(P81,$G$7:$G$106,1)))))</x:f>
      </x:c>
      <x:c r="S81" t="str">
        <x:f>IF(R81="","",IF(R81=0,$B$2,INDEX($G$7:$G$106,R81)))</x:f>
      </x:c>
      <x:c r="T81" s="14" t="str">
        <x:f>IF(R81="","",IF(R81=0,0,INDEX($H$7:$H$106,R81)))</x:f>
      </x:c>
      <x:c r="U81" t="str">
        <x:f>IF(R81="","",IF(Q81=0,$F$2,IF(R81=0,$G$7,IF(R81&lt;Q81,INDEX($G$7:$G$106,R81+1),$F$2))))</x:f>
      </x:c>
      <x:c r="V81" s="14" t="str">
        <x:f>IF(R81="","",IF(Q81=0,$H$2,IF(R81=0,$H$7,IF(R81&lt;Q81,INDEX($H$7:$H$106,R81+1),$H$2))))</x:f>
      </x:c>
      <x:c r="W81" s="188" t="str">
        <x:f>IF(R81="","",IF(U81=S81,1,MAX(0,MIN(1,(P81-S81)/(U81-S81)))))</x:f>
      </x:c>
    </x:row>
    <x:row r="82">
      <x:c r="A82" s="159" t="str">
        <x:f>IF(OR(A81="",A81&gt;=$D$2),"",A81+1)</x:f>
      </x:c>
      <x:c r="B82" s="162" t="str">
        <x:f>IF(A82="","",IFERROR(SUMPRODUCT(--('Project Plan'!$A$7:$A$206&lt;&gt;""),('Project Plan'!$P$7:$P$206+('Project Plan'!$P$7:$P$206="")),--('Project Plan'!$F$7:$F$206&lt;&gt;""),--('Project Plan'!$G$7:$G$206&lt;&gt;""),((A82&gt;='Project Plan'!$G$7:$G$206)+((A82&gt;='Project Plan'!$F$7:$F$206)*(A82&lt;'Project Plan'!$G$7:$G$206)*(A82-'Project Plan'!$F$7:$F$206+1)/('Project Plan'!$G$7:$G$206-'Project Plan'!$F$7:$F$206+1))))/SUMPRODUCT(--('Project Plan'!$A$7:$A$206&lt;&gt;""),('Project Plan'!$P$7:$P$206+('Project Plan'!$P$7:$P$206=""))),0))</x:f>
      </x:c>
      <x:c r="C82" s="162" t="str">
        <x:f>IF(A82="","",IF(A82&gt;$F$2,"",IF(A82=$F$2,$H$2,IFERROR(LOOKUP(2,1/(($G$7:$G$106&lt;&gt;"")*($G$7:$G$106&lt;=A82)),$H$7:$H$106),""))))</x:f>
      </x:c>
      <x:c r="D82" s="162" t="str">
        <x:f>IF(C82="","",C82-B82)</x:f>
      </x:c>
      <x:c r="E82" s="163" t="str">
        <x:f>IF(D82="","",IF(D82&gt;=0,"On / Ahead",IF(D82&gt;=-0.05,"Watch","Behind")))</x:f>
      </x:c>
      <x:c r="G82" s="167"/>
      <x:c r="H82" s="168"/>
      <x:c r="I82" s="170"/>
      <x:c r="J82"/>
      <x:c r="K82"/>
      <x:c r="L82"/>
      <x:c r="M82" t="str">
        <x:f>IF(A82="","",TEXT(A82,"mmm d"))</x:f>
      </x:c>
      <x:c r="N82" s="14" t="e">
        <x:f>IF(B82="",NA(),B82)</x:f>
        <x:v>#N/A</x:v>
      </x:c>
      <x:c r="O82" s="14" t="e">
        <x:f>IF(OR(P82="",$B$2="",$F$2="",P82&lt;$B$2,P82&gt;$F$2),NA(),IF(Q82=0,IF($F$2=$B$2,$H$2,MAX(0,MIN(1,$H$2*(3*MAX(0,MIN(1,(P82-$B$2)/($F$2-$B$2)))^2-2*MAX(0,MIN(1,(P82-$B$2)/($F$2-$B$2)))^3)))),MAX(0,MIN(1,T82+(V82-T82)*(3*W82^2-2*W82^3)))))</x:f>
        <x:v>#N/A</x:v>
      </x:c>
      <x:c r="P82" s="189" t="str">
        <x:f>A82</x:f>
      </x:c>
      <x:c r="Q82" t="n">
        <x:f>COUNT($G$7:$G$106)</x:f>
        <x:v>0</x:v>
      </x:c>
      <x:c r="R82" t="str">
        <x:f>IF(OR(P82="",$B$2="",$F$2="",P82&lt;$B$2,P82&gt;$F$2),"",IF(Q82=0,0,IF(P82&lt;$G$7,0,IF(P82&gt;=INDEX($G$7:$G$106,Q82),Q82,MATCH(P82,$G$7:$G$106,1)))))</x:f>
      </x:c>
      <x:c r="S82" t="str">
        <x:f>IF(R82="","",IF(R82=0,$B$2,INDEX($G$7:$G$106,R82)))</x:f>
      </x:c>
      <x:c r="T82" s="14" t="str">
        <x:f>IF(R82="","",IF(R82=0,0,INDEX($H$7:$H$106,R82)))</x:f>
      </x:c>
      <x:c r="U82" t="str">
        <x:f>IF(R82="","",IF(Q82=0,$F$2,IF(R82=0,$G$7,IF(R82&lt;Q82,INDEX($G$7:$G$106,R82+1),$F$2))))</x:f>
      </x:c>
      <x:c r="V82" s="14" t="str">
        <x:f>IF(R82="","",IF(Q82=0,$H$2,IF(R82=0,$H$7,IF(R82&lt;Q82,INDEX($H$7:$H$106,R82+1),$H$2))))</x:f>
      </x:c>
      <x:c r="W82" s="188" t="str">
        <x:f>IF(R82="","",IF(U82=S82,1,MAX(0,MIN(1,(P82-S82)/(U82-S82)))))</x:f>
      </x:c>
    </x:row>
    <x:row r="83">
      <x:c r="A83" s="159" t="str">
        <x:f>IF(OR(A82="",A82&gt;=$D$2),"",A82+1)</x:f>
      </x:c>
      <x:c r="B83" s="162" t="str">
        <x:f>IF(A83="","",IFERROR(SUMPRODUCT(--('Project Plan'!$A$7:$A$206&lt;&gt;""),('Project Plan'!$P$7:$P$206+('Project Plan'!$P$7:$P$206="")),--('Project Plan'!$F$7:$F$206&lt;&gt;""),--('Project Plan'!$G$7:$G$206&lt;&gt;""),((A83&gt;='Project Plan'!$G$7:$G$206)+((A83&gt;='Project Plan'!$F$7:$F$206)*(A83&lt;'Project Plan'!$G$7:$G$206)*(A83-'Project Plan'!$F$7:$F$206+1)/('Project Plan'!$G$7:$G$206-'Project Plan'!$F$7:$F$206+1))))/SUMPRODUCT(--('Project Plan'!$A$7:$A$206&lt;&gt;""),('Project Plan'!$P$7:$P$206+('Project Plan'!$P$7:$P$206=""))),0))</x:f>
      </x:c>
      <x:c r="C83" s="162" t="str">
        <x:f>IF(A83="","",IF(A83&gt;$F$2,"",IF(A83=$F$2,$H$2,IFERROR(LOOKUP(2,1/(($G$7:$G$106&lt;&gt;"")*($G$7:$G$106&lt;=A83)),$H$7:$H$106),""))))</x:f>
      </x:c>
      <x:c r="D83" s="162" t="str">
        <x:f>IF(C83="","",C83-B83)</x:f>
      </x:c>
      <x:c r="E83" s="163" t="str">
        <x:f>IF(D83="","",IF(D83&gt;=0,"On / Ahead",IF(D83&gt;=-0.05,"Watch","Behind")))</x:f>
      </x:c>
      <x:c r="G83" s="167"/>
      <x:c r="H83" s="168"/>
      <x:c r="I83" s="170"/>
      <x:c r="J83"/>
      <x:c r="K83"/>
      <x:c r="L83"/>
      <x:c r="M83" t="str">
        <x:f>IF(A83="","",TEXT(A83,"mmm d"))</x:f>
      </x:c>
      <x:c r="N83" s="14" t="e">
        <x:f>IF(B83="",NA(),B83)</x:f>
        <x:v>#N/A</x:v>
      </x:c>
      <x:c r="O83" s="14" t="e">
        <x:f>IF(OR(P83="",$B$2="",$F$2="",P83&lt;$B$2,P83&gt;$F$2),NA(),IF(Q83=0,IF($F$2=$B$2,$H$2,MAX(0,MIN(1,$H$2*(3*MAX(0,MIN(1,(P83-$B$2)/($F$2-$B$2)))^2-2*MAX(0,MIN(1,(P83-$B$2)/($F$2-$B$2)))^3)))),MAX(0,MIN(1,T83+(V83-T83)*(3*W83^2-2*W83^3)))))</x:f>
        <x:v>#N/A</x:v>
      </x:c>
      <x:c r="P83" s="189" t="str">
        <x:f>A83</x:f>
      </x:c>
      <x:c r="Q83" t="n">
        <x:f>COUNT($G$7:$G$106)</x:f>
        <x:v>0</x:v>
      </x:c>
      <x:c r="R83" t="str">
        <x:f>IF(OR(P83="",$B$2="",$F$2="",P83&lt;$B$2,P83&gt;$F$2),"",IF(Q83=0,0,IF(P83&lt;$G$7,0,IF(P83&gt;=INDEX($G$7:$G$106,Q83),Q83,MATCH(P83,$G$7:$G$106,1)))))</x:f>
      </x:c>
      <x:c r="S83" t="str">
        <x:f>IF(R83="","",IF(R83=0,$B$2,INDEX($G$7:$G$106,R83)))</x:f>
      </x:c>
      <x:c r="T83" s="14" t="str">
        <x:f>IF(R83="","",IF(R83=0,0,INDEX($H$7:$H$106,R83)))</x:f>
      </x:c>
      <x:c r="U83" t="str">
        <x:f>IF(R83="","",IF(Q83=0,$F$2,IF(R83=0,$G$7,IF(R83&lt;Q83,INDEX($G$7:$G$106,R83+1),$F$2))))</x:f>
      </x:c>
      <x:c r="V83" s="14" t="str">
        <x:f>IF(R83="","",IF(Q83=0,$H$2,IF(R83=0,$H$7,IF(R83&lt;Q83,INDEX($H$7:$H$106,R83+1),$H$2))))</x:f>
      </x:c>
      <x:c r="W83" s="188" t="str">
        <x:f>IF(R83="","",IF(U83=S83,1,MAX(0,MIN(1,(P83-S83)/(U83-S83)))))</x:f>
      </x:c>
    </x:row>
    <x:row r="84">
      <x:c r="A84" s="159" t="str">
        <x:f>IF(OR(A83="",A83&gt;=$D$2),"",A83+1)</x:f>
      </x:c>
      <x:c r="B84" s="162" t="str">
        <x:f>IF(A84="","",IFERROR(SUMPRODUCT(--('Project Plan'!$A$7:$A$206&lt;&gt;""),('Project Plan'!$P$7:$P$206+('Project Plan'!$P$7:$P$206="")),--('Project Plan'!$F$7:$F$206&lt;&gt;""),--('Project Plan'!$G$7:$G$206&lt;&gt;""),((A84&gt;='Project Plan'!$G$7:$G$206)+((A84&gt;='Project Plan'!$F$7:$F$206)*(A84&lt;'Project Plan'!$G$7:$G$206)*(A84-'Project Plan'!$F$7:$F$206+1)/('Project Plan'!$G$7:$G$206-'Project Plan'!$F$7:$F$206+1))))/SUMPRODUCT(--('Project Plan'!$A$7:$A$206&lt;&gt;""),('Project Plan'!$P$7:$P$206+('Project Plan'!$P$7:$P$206=""))),0))</x:f>
      </x:c>
      <x:c r="C84" s="162" t="str">
        <x:f>IF(A84="","",IF(A84&gt;$F$2,"",IF(A84=$F$2,$H$2,IFERROR(LOOKUP(2,1/(($G$7:$G$106&lt;&gt;"")*($G$7:$G$106&lt;=A84)),$H$7:$H$106),""))))</x:f>
      </x:c>
      <x:c r="D84" s="162" t="str">
        <x:f>IF(C84="","",C84-B84)</x:f>
      </x:c>
      <x:c r="E84" s="163" t="str">
        <x:f>IF(D84="","",IF(D84&gt;=0,"On / Ahead",IF(D84&gt;=-0.05,"Watch","Behind")))</x:f>
      </x:c>
      <x:c r="G84" s="167"/>
      <x:c r="H84" s="168"/>
      <x:c r="I84" s="170"/>
      <x:c r="J84"/>
      <x:c r="K84"/>
      <x:c r="L84"/>
      <x:c r="M84" t="str">
        <x:f>IF(A84="","",TEXT(A84,"mmm d"))</x:f>
      </x:c>
      <x:c r="N84" s="14" t="e">
        <x:f>IF(B84="",NA(),B84)</x:f>
        <x:v>#N/A</x:v>
      </x:c>
      <x:c r="O84" s="14" t="e">
        <x:f>IF(OR(P84="",$B$2="",$F$2="",P84&lt;$B$2,P84&gt;$F$2),NA(),IF(Q84=0,IF($F$2=$B$2,$H$2,MAX(0,MIN(1,$H$2*(3*MAX(0,MIN(1,(P84-$B$2)/($F$2-$B$2)))^2-2*MAX(0,MIN(1,(P84-$B$2)/($F$2-$B$2)))^3)))),MAX(0,MIN(1,T84+(V84-T84)*(3*W84^2-2*W84^3)))))</x:f>
        <x:v>#N/A</x:v>
      </x:c>
      <x:c r="P84" s="189" t="str">
        <x:f>A84</x:f>
      </x:c>
      <x:c r="Q84" t="n">
        <x:f>COUNT($G$7:$G$106)</x:f>
        <x:v>0</x:v>
      </x:c>
      <x:c r="R84" t="str">
        <x:f>IF(OR(P84="",$B$2="",$F$2="",P84&lt;$B$2,P84&gt;$F$2),"",IF(Q84=0,0,IF(P84&lt;$G$7,0,IF(P84&gt;=INDEX($G$7:$G$106,Q84),Q84,MATCH(P84,$G$7:$G$106,1)))))</x:f>
      </x:c>
      <x:c r="S84" t="str">
        <x:f>IF(R84="","",IF(R84=0,$B$2,INDEX($G$7:$G$106,R84)))</x:f>
      </x:c>
      <x:c r="T84" s="14" t="str">
        <x:f>IF(R84="","",IF(R84=0,0,INDEX($H$7:$H$106,R84)))</x:f>
      </x:c>
      <x:c r="U84" t="str">
        <x:f>IF(R84="","",IF(Q84=0,$F$2,IF(R84=0,$G$7,IF(R84&lt;Q84,INDEX($G$7:$G$106,R84+1),$F$2))))</x:f>
      </x:c>
      <x:c r="V84" s="14" t="str">
        <x:f>IF(R84="","",IF(Q84=0,$H$2,IF(R84=0,$H$7,IF(R84&lt;Q84,INDEX($H$7:$H$106,R84+1),$H$2))))</x:f>
      </x:c>
      <x:c r="W84" s="188" t="str">
        <x:f>IF(R84="","",IF(U84=S84,1,MAX(0,MIN(1,(P84-S84)/(U84-S84)))))</x:f>
      </x:c>
    </x:row>
    <x:row r="85">
      <x:c r="A85" s="159" t="str">
        <x:f>IF(OR(A84="",A84&gt;=$D$2),"",A84+1)</x:f>
      </x:c>
      <x:c r="B85" s="162" t="str">
        <x:f>IF(A85="","",IFERROR(SUMPRODUCT(--('Project Plan'!$A$7:$A$206&lt;&gt;""),('Project Plan'!$P$7:$P$206+('Project Plan'!$P$7:$P$206="")),--('Project Plan'!$F$7:$F$206&lt;&gt;""),--('Project Plan'!$G$7:$G$206&lt;&gt;""),((A85&gt;='Project Plan'!$G$7:$G$206)+((A85&gt;='Project Plan'!$F$7:$F$206)*(A85&lt;'Project Plan'!$G$7:$G$206)*(A85-'Project Plan'!$F$7:$F$206+1)/('Project Plan'!$G$7:$G$206-'Project Plan'!$F$7:$F$206+1))))/SUMPRODUCT(--('Project Plan'!$A$7:$A$206&lt;&gt;""),('Project Plan'!$P$7:$P$206+('Project Plan'!$P$7:$P$206=""))),0))</x:f>
      </x:c>
      <x:c r="C85" s="162" t="str">
        <x:f>IF(A85="","",IF(A85&gt;$F$2,"",IF(A85=$F$2,$H$2,IFERROR(LOOKUP(2,1/(($G$7:$G$106&lt;&gt;"")*($G$7:$G$106&lt;=A85)),$H$7:$H$106),""))))</x:f>
      </x:c>
      <x:c r="D85" s="162" t="str">
        <x:f>IF(C85="","",C85-B85)</x:f>
      </x:c>
      <x:c r="E85" s="163" t="str">
        <x:f>IF(D85="","",IF(D85&gt;=0,"On / Ahead",IF(D85&gt;=-0.05,"Watch","Behind")))</x:f>
      </x:c>
      <x:c r="G85" s="167"/>
      <x:c r="H85" s="168"/>
      <x:c r="I85" s="170"/>
      <x:c r="J85"/>
      <x:c r="K85"/>
      <x:c r="L85"/>
      <x:c r="M85" t="str">
        <x:f>IF(A85="","",TEXT(A85,"mmm d"))</x:f>
      </x:c>
      <x:c r="N85" s="14" t="e">
        <x:f>IF(B85="",NA(),B85)</x:f>
        <x:v>#N/A</x:v>
      </x:c>
      <x:c r="O85" s="14" t="e">
        <x:f>IF(OR(P85="",$B$2="",$F$2="",P85&lt;$B$2,P85&gt;$F$2),NA(),IF(Q85=0,IF($F$2=$B$2,$H$2,MAX(0,MIN(1,$H$2*(3*MAX(0,MIN(1,(P85-$B$2)/($F$2-$B$2)))^2-2*MAX(0,MIN(1,(P85-$B$2)/($F$2-$B$2)))^3)))),MAX(0,MIN(1,T85+(V85-T85)*(3*W85^2-2*W85^3)))))</x:f>
        <x:v>#N/A</x:v>
      </x:c>
      <x:c r="P85" s="189" t="str">
        <x:f>A85</x:f>
      </x:c>
      <x:c r="Q85" t="n">
        <x:f>COUNT($G$7:$G$106)</x:f>
        <x:v>0</x:v>
      </x:c>
      <x:c r="R85" t="str">
        <x:f>IF(OR(P85="",$B$2="",$F$2="",P85&lt;$B$2,P85&gt;$F$2),"",IF(Q85=0,0,IF(P85&lt;$G$7,0,IF(P85&gt;=INDEX($G$7:$G$106,Q85),Q85,MATCH(P85,$G$7:$G$106,1)))))</x:f>
      </x:c>
      <x:c r="S85" t="str">
        <x:f>IF(R85="","",IF(R85=0,$B$2,INDEX($G$7:$G$106,R85)))</x:f>
      </x:c>
      <x:c r="T85" s="14" t="str">
        <x:f>IF(R85="","",IF(R85=0,0,INDEX($H$7:$H$106,R85)))</x:f>
      </x:c>
      <x:c r="U85" t="str">
        <x:f>IF(R85="","",IF(Q85=0,$F$2,IF(R85=0,$G$7,IF(R85&lt;Q85,INDEX($G$7:$G$106,R85+1),$F$2))))</x:f>
      </x:c>
      <x:c r="V85" s="14" t="str">
        <x:f>IF(R85="","",IF(Q85=0,$H$2,IF(R85=0,$H$7,IF(R85&lt;Q85,INDEX($H$7:$H$106,R85+1),$H$2))))</x:f>
      </x:c>
      <x:c r="W85" s="188" t="str">
        <x:f>IF(R85="","",IF(U85=S85,1,MAX(0,MIN(1,(P85-S85)/(U85-S85)))))</x:f>
      </x:c>
    </x:row>
    <x:row r="86">
      <x:c r="A86" s="159" t="str">
        <x:f>IF(OR(A85="",A85&gt;=$D$2),"",A85+1)</x:f>
      </x:c>
      <x:c r="B86" s="162" t="str">
        <x:f>IF(A86="","",IFERROR(SUMPRODUCT(--('Project Plan'!$A$7:$A$206&lt;&gt;""),('Project Plan'!$P$7:$P$206+('Project Plan'!$P$7:$P$206="")),--('Project Plan'!$F$7:$F$206&lt;&gt;""),--('Project Plan'!$G$7:$G$206&lt;&gt;""),((A86&gt;='Project Plan'!$G$7:$G$206)+((A86&gt;='Project Plan'!$F$7:$F$206)*(A86&lt;'Project Plan'!$G$7:$G$206)*(A86-'Project Plan'!$F$7:$F$206+1)/('Project Plan'!$G$7:$G$206-'Project Plan'!$F$7:$F$206+1))))/SUMPRODUCT(--('Project Plan'!$A$7:$A$206&lt;&gt;""),('Project Plan'!$P$7:$P$206+('Project Plan'!$P$7:$P$206=""))),0))</x:f>
      </x:c>
      <x:c r="C86" s="162" t="str">
        <x:f>IF(A86="","",IF(A86&gt;$F$2,"",IF(A86=$F$2,$H$2,IFERROR(LOOKUP(2,1/(($G$7:$G$106&lt;&gt;"")*($G$7:$G$106&lt;=A86)),$H$7:$H$106),""))))</x:f>
      </x:c>
      <x:c r="D86" s="162" t="str">
        <x:f>IF(C86="","",C86-B86)</x:f>
      </x:c>
      <x:c r="E86" s="163" t="str">
        <x:f>IF(D86="","",IF(D86&gt;=0,"On / Ahead",IF(D86&gt;=-0.05,"Watch","Behind")))</x:f>
      </x:c>
      <x:c r="G86" s="167"/>
      <x:c r="H86" s="168"/>
      <x:c r="I86" s="170"/>
      <x:c r="J86"/>
      <x:c r="K86"/>
      <x:c r="L86"/>
      <x:c r="M86" t="str">
        <x:f>IF(A86="","",TEXT(A86,"mmm d"))</x:f>
      </x:c>
      <x:c r="N86" s="14" t="e">
        <x:f>IF(B86="",NA(),B86)</x:f>
        <x:v>#N/A</x:v>
      </x:c>
      <x:c r="O86" s="14" t="e">
        <x:f>IF(OR(P86="",$B$2="",$F$2="",P86&lt;$B$2,P86&gt;$F$2),NA(),IF(Q86=0,IF($F$2=$B$2,$H$2,MAX(0,MIN(1,$H$2*(3*MAX(0,MIN(1,(P86-$B$2)/($F$2-$B$2)))^2-2*MAX(0,MIN(1,(P86-$B$2)/($F$2-$B$2)))^3)))),MAX(0,MIN(1,T86+(V86-T86)*(3*W86^2-2*W86^3)))))</x:f>
        <x:v>#N/A</x:v>
      </x:c>
      <x:c r="P86" s="189" t="str">
        <x:f>A86</x:f>
      </x:c>
      <x:c r="Q86" t="n">
        <x:f>COUNT($G$7:$G$106)</x:f>
        <x:v>0</x:v>
      </x:c>
      <x:c r="R86" t="str">
        <x:f>IF(OR(P86="",$B$2="",$F$2="",P86&lt;$B$2,P86&gt;$F$2),"",IF(Q86=0,0,IF(P86&lt;$G$7,0,IF(P86&gt;=INDEX($G$7:$G$106,Q86),Q86,MATCH(P86,$G$7:$G$106,1)))))</x:f>
      </x:c>
      <x:c r="S86" t="str">
        <x:f>IF(R86="","",IF(R86=0,$B$2,INDEX($G$7:$G$106,R86)))</x:f>
      </x:c>
      <x:c r="T86" s="14" t="str">
        <x:f>IF(R86="","",IF(R86=0,0,INDEX($H$7:$H$106,R86)))</x:f>
      </x:c>
      <x:c r="U86" t="str">
        <x:f>IF(R86="","",IF(Q86=0,$F$2,IF(R86=0,$G$7,IF(R86&lt;Q86,INDEX($G$7:$G$106,R86+1),$F$2))))</x:f>
      </x:c>
      <x:c r="V86" s="14" t="str">
        <x:f>IF(R86="","",IF(Q86=0,$H$2,IF(R86=0,$H$7,IF(R86&lt;Q86,INDEX($H$7:$H$106,R86+1),$H$2))))</x:f>
      </x:c>
      <x:c r="W86" s="188" t="str">
        <x:f>IF(R86="","",IF(U86=S86,1,MAX(0,MIN(1,(P86-S86)/(U86-S86)))))</x:f>
      </x:c>
    </x:row>
    <x:row r="87">
      <x:c r="A87" s="159" t="str">
        <x:f>IF(OR(A86="",A86&gt;=$D$2),"",A86+1)</x:f>
      </x:c>
      <x:c r="B87" s="162" t="str">
        <x:f>IF(A87="","",IFERROR(SUMPRODUCT(--('Project Plan'!$A$7:$A$206&lt;&gt;""),('Project Plan'!$P$7:$P$206+('Project Plan'!$P$7:$P$206="")),--('Project Plan'!$F$7:$F$206&lt;&gt;""),--('Project Plan'!$G$7:$G$206&lt;&gt;""),((A87&gt;='Project Plan'!$G$7:$G$206)+((A87&gt;='Project Plan'!$F$7:$F$206)*(A87&lt;'Project Plan'!$G$7:$G$206)*(A87-'Project Plan'!$F$7:$F$206+1)/('Project Plan'!$G$7:$G$206-'Project Plan'!$F$7:$F$206+1))))/SUMPRODUCT(--('Project Plan'!$A$7:$A$206&lt;&gt;""),('Project Plan'!$P$7:$P$206+('Project Plan'!$P$7:$P$206=""))),0))</x:f>
      </x:c>
      <x:c r="C87" s="162" t="str">
        <x:f>IF(A87="","",IF(A87&gt;$F$2,"",IF(A87=$F$2,$H$2,IFERROR(LOOKUP(2,1/(($G$7:$G$106&lt;&gt;"")*($G$7:$G$106&lt;=A87)),$H$7:$H$106),""))))</x:f>
      </x:c>
      <x:c r="D87" s="162" t="str">
        <x:f>IF(C87="","",C87-B87)</x:f>
      </x:c>
      <x:c r="E87" s="163" t="str">
        <x:f>IF(D87="","",IF(D87&gt;=0,"On / Ahead",IF(D87&gt;=-0.05,"Watch","Behind")))</x:f>
      </x:c>
      <x:c r="G87" s="167"/>
      <x:c r="H87" s="168"/>
      <x:c r="I87" s="170"/>
      <x:c r="J87"/>
      <x:c r="K87"/>
      <x:c r="L87"/>
      <x:c r="M87" t="str">
        <x:f>IF(A87="","",TEXT(A87,"mmm d"))</x:f>
      </x:c>
      <x:c r="N87" s="14" t="e">
        <x:f>IF(B87="",NA(),B87)</x:f>
        <x:v>#N/A</x:v>
      </x:c>
      <x:c r="O87" s="14" t="e">
        <x:f>IF(OR(P87="",$B$2="",$F$2="",P87&lt;$B$2,P87&gt;$F$2),NA(),IF(Q87=0,IF($F$2=$B$2,$H$2,MAX(0,MIN(1,$H$2*(3*MAX(0,MIN(1,(P87-$B$2)/($F$2-$B$2)))^2-2*MAX(0,MIN(1,(P87-$B$2)/($F$2-$B$2)))^3)))),MAX(0,MIN(1,T87+(V87-T87)*(3*W87^2-2*W87^3)))))</x:f>
        <x:v>#N/A</x:v>
      </x:c>
      <x:c r="P87" s="189" t="str">
        <x:f>A87</x:f>
      </x:c>
      <x:c r="Q87" t="n">
        <x:f>COUNT($G$7:$G$106)</x:f>
        <x:v>0</x:v>
      </x:c>
      <x:c r="R87" t="str">
        <x:f>IF(OR(P87="",$B$2="",$F$2="",P87&lt;$B$2,P87&gt;$F$2),"",IF(Q87=0,0,IF(P87&lt;$G$7,0,IF(P87&gt;=INDEX($G$7:$G$106,Q87),Q87,MATCH(P87,$G$7:$G$106,1)))))</x:f>
      </x:c>
      <x:c r="S87" t="str">
        <x:f>IF(R87="","",IF(R87=0,$B$2,INDEX($G$7:$G$106,R87)))</x:f>
      </x:c>
      <x:c r="T87" s="14" t="str">
        <x:f>IF(R87="","",IF(R87=0,0,INDEX($H$7:$H$106,R87)))</x:f>
      </x:c>
      <x:c r="U87" t="str">
        <x:f>IF(R87="","",IF(Q87=0,$F$2,IF(R87=0,$G$7,IF(R87&lt;Q87,INDEX($G$7:$G$106,R87+1),$F$2))))</x:f>
      </x:c>
      <x:c r="V87" s="14" t="str">
        <x:f>IF(R87="","",IF(Q87=0,$H$2,IF(R87=0,$H$7,IF(R87&lt;Q87,INDEX($H$7:$H$106,R87+1),$H$2))))</x:f>
      </x:c>
      <x:c r="W87" s="188" t="str">
        <x:f>IF(R87="","",IF(U87=S87,1,MAX(0,MIN(1,(P87-S87)/(U87-S87)))))</x:f>
      </x:c>
    </x:row>
    <x:row r="88">
      <x:c r="A88" s="159" t="str">
        <x:f>IF(OR(A87="",A87&gt;=$D$2),"",A87+1)</x:f>
      </x:c>
      <x:c r="B88" s="162" t="str">
        <x:f>IF(A88="","",IFERROR(SUMPRODUCT(--('Project Plan'!$A$7:$A$206&lt;&gt;""),('Project Plan'!$P$7:$P$206+('Project Plan'!$P$7:$P$206="")),--('Project Plan'!$F$7:$F$206&lt;&gt;""),--('Project Plan'!$G$7:$G$206&lt;&gt;""),((A88&gt;='Project Plan'!$G$7:$G$206)+((A88&gt;='Project Plan'!$F$7:$F$206)*(A88&lt;'Project Plan'!$G$7:$G$206)*(A88-'Project Plan'!$F$7:$F$206+1)/('Project Plan'!$G$7:$G$206-'Project Plan'!$F$7:$F$206+1))))/SUMPRODUCT(--('Project Plan'!$A$7:$A$206&lt;&gt;""),('Project Plan'!$P$7:$P$206+('Project Plan'!$P$7:$P$206=""))),0))</x:f>
      </x:c>
      <x:c r="C88" s="162" t="str">
        <x:f>IF(A88="","",IF(A88&gt;$F$2,"",IF(A88=$F$2,$H$2,IFERROR(LOOKUP(2,1/(($G$7:$G$106&lt;&gt;"")*($G$7:$G$106&lt;=A88)),$H$7:$H$106),""))))</x:f>
      </x:c>
      <x:c r="D88" s="162" t="str">
        <x:f>IF(C88="","",C88-B88)</x:f>
      </x:c>
      <x:c r="E88" s="163" t="str">
        <x:f>IF(D88="","",IF(D88&gt;=0,"On / Ahead",IF(D88&gt;=-0.05,"Watch","Behind")))</x:f>
      </x:c>
      <x:c r="G88" s="167"/>
      <x:c r="H88" s="168"/>
      <x:c r="I88" s="170"/>
      <x:c r="J88"/>
      <x:c r="K88"/>
      <x:c r="L88"/>
      <x:c r="M88" t="str">
        <x:f>IF(A88="","",TEXT(A88,"mmm d"))</x:f>
      </x:c>
      <x:c r="N88" s="14" t="e">
        <x:f>IF(B88="",NA(),B88)</x:f>
        <x:v>#N/A</x:v>
      </x:c>
      <x:c r="O88" s="14" t="e">
        <x:f>IF(OR(P88="",$B$2="",$F$2="",P88&lt;$B$2,P88&gt;$F$2),NA(),IF(Q88=0,IF($F$2=$B$2,$H$2,MAX(0,MIN(1,$H$2*(3*MAX(0,MIN(1,(P88-$B$2)/($F$2-$B$2)))^2-2*MAX(0,MIN(1,(P88-$B$2)/($F$2-$B$2)))^3)))),MAX(0,MIN(1,T88+(V88-T88)*(3*W88^2-2*W88^3)))))</x:f>
        <x:v>#N/A</x:v>
      </x:c>
      <x:c r="P88" s="189" t="str">
        <x:f>A88</x:f>
      </x:c>
      <x:c r="Q88" t="n">
        <x:f>COUNT($G$7:$G$106)</x:f>
        <x:v>0</x:v>
      </x:c>
      <x:c r="R88" t="str">
        <x:f>IF(OR(P88="",$B$2="",$F$2="",P88&lt;$B$2,P88&gt;$F$2),"",IF(Q88=0,0,IF(P88&lt;$G$7,0,IF(P88&gt;=INDEX($G$7:$G$106,Q88),Q88,MATCH(P88,$G$7:$G$106,1)))))</x:f>
      </x:c>
      <x:c r="S88" t="str">
        <x:f>IF(R88="","",IF(R88=0,$B$2,INDEX($G$7:$G$106,R88)))</x:f>
      </x:c>
      <x:c r="T88" s="14" t="str">
        <x:f>IF(R88="","",IF(R88=0,0,INDEX($H$7:$H$106,R88)))</x:f>
      </x:c>
      <x:c r="U88" t="str">
        <x:f>IF(R88="","",IF(Q88=0,$F$2,IF(R88=0,$G$7,IF(R88&lt;Q88,INDEX($G$7:$G$106,R88+1),$F$2))))</x:f>
      </x:c>
      <x:c r="V88" s="14" t="str">
        <x:f>IF(R88="","",IF(Q88=0,$H$2,IF(R88=0,$H$7,IF(R88&lt;Q88,INDEX($H$7:$H$106,R88+1),$H$2))))</x:f>
      </x:c>
      <x:c r="W88" s="188" t="str">
        <x:f>IF(R88="","",IF(U88=S88,1,MAX(0,MIN(1,(P88-S88)/(U88-S88)))))</x:f>
      </x:c>
    </x:row>
    <x:row r="89">
      <x:c r="A89" s="159" t="str">
        <x:f>IF(OR(A88="",A88&gt;=$D$2),"",A88+1)</x:f>
      </x:c>
      <x:c r="B89" s="162" t="str">
        <x:f>IF(A89="","",IFERROR(SUMPRODUCT(--('Project Plan'!$A$7:$A$206&lt;&gt;""),('Project Plan'!$P$7:$P$206+('Project Plan'!$P$7:$P$206="")),--('Project Plan'!$F$7:$F$206&lt;&gt;""),--('Project Plan'!$G$7:$G$206&lt;&gt;""),((A89&gt;='Project Plan'!$G$7:$G$206)+((A89&gt;='Project Plan'!$F$7:$F$206)*(A89&lt;'Project Plan'!$G$7:$G$206)*(A89-'Project Plan'!$F$7:$F$206+1)/('Project Plan'!$G$7:$G$206-'Project Plan'!$F$7:$F$206+1))))/SUMPRODUCT(--('Project Plan'!$A$7:$A$206&lt;&gt;""),('Project Plan'!$P$7:$P$206+('Project Plan'!$P$7:$P$206=""))),0))</x:f>
      </x:c>
      <x:c r="C89" s="162" t="str">
        <x:f>IF(A89="","",IF(A89&gt;$F$2,"",IF(A89=$F$2,$H$2,IFERROR(LOOKUP(2,1/(($G$7:$G$106&lt;&gt;"")*($G$7:$G$106&lt;=A89)),$H$7:$H$106),""))))</x:f>
      </x:c>
      <x:c r="D89" s="162" t="str">
        <x:f>IF(C89="","",C89-B89)</x:f>
      </x:c>
      <x:c r="E89" s="163" t="str">
        <x:f>IF(D89="","",IF(D89&gt;=0,"On / Ahead",IF(D89&gt;=-0.05,"Watch","Behind")))</x:f>
      </x:c>
      <x:c r="G89" s="167"/>
      <x:c r="H89" s="168"/>
      <x:c r="I89" s="170"/>
      <x:c r="J89"/>
      <x:c r="K89"/>
      <x:c r="L89"/>
      <x:c r="M89" t="str">
        <x:f>IF(A89="","",TEXT(A89,"mmm d"))</x:f>
      </x:c>
      <x:c r="N89" s="14" t="e">
        <x:f>IF(B89="",NA(),B89)</x:f>
        <x:v>#N/A</x:v>
      </x:c>
      <x:c r="O89" s="14" t="e">
        <x:f>IF(OR(P89="",$B$2="",$F$2="",P89&lt;$B$2,P89&gt;$F$2),NA(),IF(Q89=0,IF($F$2=$B$2,$H$2,MAX(0,MIN(1,$H$2*(3*MAX(0,MIN(1,(P89-$B$2)/($F$2-$B$2)))^2-2*MAX(0,MIN(1,(P89-$B$2)/($F$2-$B$2)))^3)))),MAX(0,MIN(1,T89+(V89-T89)*(3*W89^2-2*W89^3)))))</x:f>
        <x:v>#N/A</x:v>
      </x:c>
      <x:c r="P89" s="189" t="str">
        <x:f>A89</x:f>
      </x:c>
      <x:c r="Q89" t="n">
        <x:f>COUNT($G$7:$G$106)</x:f>
        <x:v>0</x:v>
      </x:c>
      <x:c r="R89" t="str">
        <x:f>IF(OR(P89="",$B$2="",$F$2="",P89&lt;$B$2,P89&gt;$F$2),"",IF(Q89=0,0,IF(P89&lt;$G$7,0,IF(P89&gt;=INDEX($G$7:$G$106,Q89),Q89,MATCH(P89,$G$7:$G$106,1)))))</x:f>
      </x:c>
      <x:c r="S89" t="str">
        <x:f>IF(R89="","",IF(R89=0,$B$2,INDEX($G$7:$G$106,R89)))</x:f>
      </x:c>
      <x:c r="T89" s="14" t="str">
        <x:f>IF(R89="","",IF(R89=0,0,INDEX($H$7:$H$106,R89)))</x:f>
      </x:c>
      <x:c r="U89" t="str">
        <x:f>IF(R89="","",IF(Q89=0,$F$2,IF(R89=0,$G$7,IF(R89&lt;Q89,INDEX($G$7:$G$106,R89+1),$F$2))))</x:f>
      </x:c>
      <x:c r="V89" s="14" t="str">
        <x:f>IF(R89="","",IF(Q89=0,$H$2,IF(R89=0,$H$7,IF(R89&lt;Q89,INDEX($H$7:$H$106,R89+1),$H$2))))</x:f>
      </x:c>
      <x:c r="W89" s="188" t="str">
        <x:f>IF(R89="","",IF(U89=S89,1,MAX(0,MIN(1,(P89-S89)/(U89-S89)))))</x:f>
      </x:c>
    </x:row>
    <x:row r="90">
      <x:c r="A90" s="159" t="str">
        <x:f>IF(OR(A89="",A89&gt;=$D$2),"",A89+1)</x:f>
      </x:c>
      <x:c r="B90" s="162" t="str">
        <x:f>IF(A90="","",IFERROR(SUMPRODUCT(--('Project Plan'!$A$7:$A$206&lt;&gt;""),('Project Plan'!$P$7:$P$206+('Project Plan'!$P$7:$P$206="")),--('Project Plan'!$F$7:$F$206&lt;&gt;""),--('Project Plan'!$G$7:$G$206&lt;&gt;""),((A90&gt;='Project Plan'!$G$7:$G$206)+((A90&gt;='Project Plan'!$F$7:$F$206)*(A90&lt;'Project Plan'!$G$7:$G$206)*(A90-'Project Plan'!$F$7:$F$206+1)/('Project Plan'!$G$7:$G$206-'Project Plan'!$F$7:$F$206+1))))/SUMPRODUCT(--('Project Plan'!$A$7:$A$206&lt;&gt;""),('Project Plan'!$P$7:$P$206+('Project Plan'!$P$7:$P$206=""))),0))</x:f>
      </x:c>
      <x:c r="C90" s="162" t="str">
        <x:f>IF(A90="","",IF(A90&gt;$F$2,"",IF(A90=$F$2,$H$2,IFERROR(LOOKUP(2,1/(($G$7:$G$106&lt;&gt;"")*($G$7:$G$106&lt;=A90)),$H$7:$H$106),""))))</x:f>
      </x:c>
      <x:c r="D90" s="162" t="str">
        <x:f>IF(C90="","",C90-B90)</x:f>
      </x:c>
      <x:c r="E90" s="163" t="str">
        <x:f>IF(D90="","",IF(D90&gt;=0,"On / Ahead",IF(D90&gt;=-0.05,"Watch","Behind")))</x:f>
      </x:c>
      <x:c r="G90" s="167"/>
      <x:c r="H90" s="168"/>
      <x:c r="I90" s="170"/>
      <x:c r="J90"/>
      <x:c r="K90"/>
      <x:c r="L90"/>
      <x:c r="M90" t="str">
        <x:f>IF(A90="","",TEXT(A90,"mmm d"))</x:f>
      </x:c>
      <x:c r="N90" s="14" t="e">
        <x:f>IF(B90="",NA(),B90)</x:f>
        <x:v>#N/A</x:v>
      </x:c>
      <x:c r="O90" s="14" t="e">
        <x:f>IF(OR(P90="",$B$2="",$F$2="",P90&lt;$B$2,P90&gt;$F$2),NA(),IF(Q90=0,IF($F$2=$B$2,$H$2,MAX(0,MIN(1,$H$2*(3*MAX(0,MIN(1,(P90-$B$2)/($F$2-$B$2)))^2-2*MAX(0,MIN(1,(P90-$B$2)/($F$2-$B$2)))^3)))),MAX(0,MIN(1,T90+(V90-T90)*(3*W90^2-2*W90^3)))))</x:f>
        <x:v>#N/A</x:v>
      </x:c>
      <x:c r="P90" s="189" t="str">
        <x:f>A90</x:f>
      </x:c>
      <x:c r="Q90" t="n">
        <x:f>COUNT($G$7:$G$106)</x:f>
        <x:v>0</x:v>
      </x:c>
      <x:c r="R90" t="str">
        <x:f>IF(OR(P90="",$B$2="",$F$2="",P90&lt;$B$2,P90&gt;$F$2),"",IF(Q90=0,0,IF(P90&lt;$G$7,0,IF(P90&gt;=INDEX($G$7:$G$106,Q90),Q90,MATCH(P90,$G$7:$G$106,1)))))</x:f>
      </x:c>
      <x:c r="S90" t="str">
        <x:f>IF(R90="","",IF(R90=0,$B$2,INDEX($G$7:$G$106,R90)))</x:f>
      </x:c>
      <x:c r="T90" s="14" t="str">
        <x:f>IF(R90="","",IF(R90=0,0,INDEX($H$7:$H$106,R90)))</x:f>
      </x:c>
      <x:c r="U90" t="str">
        <x:f>IF(R90="","",IF(Q90=0,$F$2,IF(R90=0,$G$7,IF(R90&lt;Q90,INDEX($G$7:$G$106,R90+1),$F$2))))</x:f>
      </x:c>
      <x:c r="V90" s="14" t="str">
        <x:f>IF(R90="","",IF(Q90=0,$H$2,IF(R90=0,$H$7,IF(R90&lt;Q90,INDEX($H$7:$H$106,R90+1),$H$2))))</x:f>
      </x:c>
      <x:c r="W90" s="188" t="str">
        <x:f>IF(R90="","",IF(U90=S90,1,MAX(0,MIN(1,(P90-S90)/(U90-S90)))))</x:f>
      </x:c>
    </x:row>
    <x:row r="91">
      <x:c r="A91" s="159" t="str">
        <x:f>IF(OR(A90="",A90&gt;=$D$2),"",A90+1)</x:f>
      </x:c>
      <x:c r="B91" s="162" t="str">
        <x:f>IF(A91="","",IFERROR(SUMPRODUCT(--('Project Plan'!$A$7:$A$206&lt;&gt;""),('Project Plan'!$P$7:$P$206+('Project Plan'!$P$7:$P$206="")),--('Project Plan'!$F$7:$F$206&lt;&gt;""),--('Project Plan'!$G$7:$G$206&lt;&gt;""),((A91&gt;='Project Plan'!$G$7:$G$206)+((A91&gt;='Project Plan'!$F$7:$F$206)*(A91&lt;'Project Plan'!$G$7:$G$206)*(A91-'Project Plan'!$F$7:$F$206+1)/('Project Plan'!$G$7:$G$206-'Project Plan'!$F$7:$F$206+1))))/SUMPRODUCT(--('Project Plan'!$A$7:$A$206&lt;&gt;""),('Project Plan'!$P$7:$P$206+('Project Plan'!$P$7:$P$206=""))),0))</x:f>
      </x:c>
      <x:c r="C91" s="162" t="str">
        <x:f>IF(A91="","",IF(A91&gt;$F$2,"",IF(A91=$F$2,$H$2,IFERROR(LOOKUP(2,1/(($G$7:$G$106&lt;&gt;"")*($G$7:$G$106&lt;=A91)),$H$7:$H$106),""))))</x:f>
      </x:c>
      <x:c r="D91" s="162" t="str">
        <x:f>IF(C91="","",C91-B91)</x:f>
      </x:c>
      <x:c r="E91" s="163" t="str">
        <x:f>IF(D91="","",IF(D91&gt;=0,"On / Ahead",IF(D91&gt;=-0.05,"Watch","Behind")))</x:f>
      </x:c>
      <x:c r="G91" s="167"/>
      <x:c r="H91" s="168"/>
      <x:c r="I91" s="170"/>
      <x:c r="J91"/>
      <x:c r="K91"/>
      <x:c r="L91"/>
      <x:c r="M91" t="str">
        <x:f>IF(A91="","",TEXT(A91,"mmm d"))</x:f>
      </x:c>
      <x:c r="N91" s="14" t="e">
        <x:f>IF(B91="",NA(),B91)</x:f>
        <x:v>#N/A</x:v>
      </x:c>
      <x:c r="O91" s="14" t="e">
        <x:f>IF(OR(P91="",$B$2="",$F$2="",P91&lt;$B$2,P91&gt;$F$2),NA(),IF(Q91=0,IF($F$2=$B$2,$H$2,MAX(0,MIN(1,$H$2*(3*MAX(0,MIN(1,(P91-$B$2)/($F$2-$B$2)))^2-2*MAX(0,MIN(1,(P91-$B$2)/($F$2-$B$2)))^3)))),MAX(0,MIN(1,T91+(V91-T91)*(3*W91^2-2*W91^3)))))</x:f>
        <x:v>#N/A</x:v>
      </x:c>
      <x:c r="P91" s="189" t="str">
        <x:f>A91</x:f>
      </x:c>
      <x:c r="Q91" t="n">
        <x:f>COUNT($G$7:$G$106)</x:f>
        <x:v>0</x:v>
      </x:c>
      <x:c r="R91" t="str">
        <x:f>IF(OR(P91="",$B$2="",$F$2="",P91&lt;$B$2,P91&gt;$F$2),"",IF(Q91=0,0,IF(P91&lt;$G$7,0,IF(P91&gt;=INDEX($G$7:$G$106,Q91),Q91,MATCH(P91,$G$7:$G$106,1)))))</x:f>
      </x:c>
      <x:c r="S91" t="str">
        <x:f>IF(R91="","",IF(R91=0,$B$2,INDEX($G$7:$G$106,R91)))</x:f>
      </x:c>
      <x:c r="T91" s="14" t="str">
        <x:f>IF(R91="","",IF(R91=0,0,INDEX($H$7:$H$106,R91)))</x:f>
      </x:c>
      <x:c r="U91" t="str">
        <x:f>IF(R91="","",IF(Q91=0,$F$2,IF(R91=0,$G$7,IF(R91&lt;Q91,INDEX($G$7:$G$106,R91+1),$F$2))))</x:f>
      </x:c>
      <x:c r="V91" s="14" t="str">
        <x:f>IF(R91="","",IF(Q91=0,$H$2,IF(R91=0,$H$7,IF(R91&lt;Q91,INDEX($H$7:$H$106,R91+1),$H$2))))</x:f>
      </x:c>
      <x:c r="W91" s="188" t="str">
        <x:f>IF(R91="","",IF(U91=S91,1,MAX(0,MIN(1,(P91-S91)/(U91-S91)))))</x:f>
      </x:c>
    </x:row>
    <x:row r="92">
      <x:c r="A92" s="159" t="str">
        <x:f>IF(OR(A91="",A91&gt;=$D$2),"",A91+1)</x:f>
      </x:c>
      <x:c r="B92" s="162" t="str">
        <x:f>IF(A92="","",IFERROR(SUMPRODUCT(--('Project Plan'!$A$7:$A$206&lt;&gt;""),('Project Plan'!$P$7:$P$206+('Project Plan'!$P$7:$P$206="")),--('Project Plan'!$F$7:$F$206&lt;&gt;""),--('Project Plan'!$G$7:$G$206&lt;&gt;""),((A92&gt;='Project Plan'!$G$7:$G$206)+((A92&gt;='Project Plan'!$F$7:$F$206)*(A92&lt;'Project Plan'!$G$7:$G$206)*(A92-'Project Plan'!$F$7:$F$206+1)/('Project Plan'!$G$7:$G$206-'Project Plan'!$F$7:$F$206+1))))/SUMPRODUCT(--('Project Plan'!$A$7:$A$206&lt;&gt;""),('Project Plan'!$P$7:$P$206+('Project Plan'!$P$7:$P$206=""))),0))</x:f>
      </x:c>
      <x:c r="C92" s="162" t="str">
        <x:f>IF(A92="","",IF(A92&gt;$F$2,"",IF(A92=$F$2,$H$2,IFERROR(LOOKUP(2,1/(($G$7:$G$106&lt;&gt;"")*($G$7:$G$106&lt;=A92)),$H$7:$H$106),""))))</x:f>
      </x:c>
      <x:c r="D92" s="162" t="str">
        <x:f>IF(C92="","",C92-B92)</x:f>
      </x:c>
      <x:c r="E92" s="163" t="str">
        <x:f>IF(D92="","",IF(D92&gt;=0,"On / Ahead",IF(D92&gt;=-0.05,"Watch","Behind")))</x:f>
      </x:c>
      <x:c r="G92" s="167"/>
      <x:c r="H92" s="168"/>
      <x:c r="I92" s="170"/>
      <x:c r="J92"/>
      <x:c r="K92"/>
      <x:c r="L92"/>
      <x:c r="M92" t="str">
        <x:f>IF(A92="","",TEXT(A92,"mmm d"))</x:f>
      </x:c>
      <x:c r="N92" s="14" t="e">
        <x:f>IF(B92="",NA(),B92)</x:f>
        <x:v>#N/A</x:v>
      </x:c>
      <x:c r="O92" s="14" t="e">
        <x:f>IF(OR(P92="",$B$2="",$F$2="",P92&lt;$B$2,P92&gt;$F$2),NA(),IF(Q92=0,IF($F$2=$B$2,$H$2,MAX(0,MIN(1,$H$2*(3*MAX(0,MIN(1,(P92-$B$2)/($F$2-$B$2)))^2-2*MAX(0,MIN(1,(P92-$B$2)/($F$2-$B$2)))^3)))),MAX(0,MIN(1,T92+(V92-T92)*(3*W92^2-2*W92^3)))))</x:f>
        <x:v>#N/A</x:v>
      </x:c>
      <x:c r="P92" s="189" t="str">
        <x:f>A92</x:f>
      </x:c>
      <x:c r="Q92" t="n">
        <x:f>COUNT($G$7:$G$106)</x:f>
        <x:v>0</x:v>
      </x:c>
      <x:c r="R92" t="str">
        <x:f>IF(OR(P92="",$B$2="",$F$2="",P92&lt;$B$2,P92&gt;$F$2),"",IF(Q92=0,0,IF(P92&lt;$G$7,0,IF(P92&gt;=INDEX($G$7:$G$106,Q92),Q92,MATCH(P92,$G$7:$G$106,1)))))</x:f>
      </x:c>
      <x:c r="S92" t="str">
        <x:f>IF(R92="","",IF(R92=0,$B$2,INDEX($G$7:$G$106,R92)))</x:f>
      </x:c>
      <x:c r="T92" s="14" t="str">
        <x:f>IF(R92="","",IF(R92=0,0,INDEX($H$7:$H$106,R92)))</x:f>
      </x:c>
      <x:c r="U92" t="str">
        <x:f>IF(R92="","",IF(Q92=0,$F$2,IF(R92=0,$G$7,IF(R92&lt;Q92,INDEX($G$7:$G$106,R92+1),$F$2))))</x:f>
      </x:c>
      <x:c r="V92" s="14" t="str">
        <x:f>IF(R92="","",IF(Q92=0,$H$2,IF(R92=0,$H$7,IF(R92&lt;Q92,INDEX($H$7:$H$106,R92+1),$H$2))))</x:f>
      </x:c>
      <x:c r="W92" s="188" t="str">
        <x:f>IF(R92="","",IF(U92=S92,1,MAX(0,MIN(1,(P92-S92)/(U92-S92)))))</x:f>
      </x:c>
    </x:row>
    <x:row r="93">
      <x:c r="A93" s="159" t="str">
        <x:f>IF(OR(A92="",A92&gt;=$D$2),"",A92+1)</x:f>
      </x:c>
      <x:c r="B93" s="162" t="str">
        <x:f>IF(A93="","",IFERROR(SUMPRODUCT(--('Project Plan'!$A$7:$A$206&lt;&gt;""),('Project Plan'!$P$7:$P$206+('Project Plan'!$P$7:$P$206="")),--('Project Plan'!$F$7:$F$206&lt;&gt;""),--('Project Plan'!$G$7:$G$206&lt;&gt;""),((A93&gt;='Project Plan'!$G$7:$G$206)+((A93&gt;='Project Plan'!$F$7:$F$206)*(A93&lt;'Project Plan'!$G$7:$G$206)*(A93-'Project Plan'!$F$7:$F$206+1)/('Project Plan'!$G$7:$G$206-'Project Plan'!$F$7:$F$206+1))))/SUMPRODUCT(--('Project Plan'!$A$7:$A$206&lt;&gt;""),('Project Plan'!$P$7:$P$206+('Project Plan'!$P$7:$P$206=""))),0))</x:f>
      </x:c>
      <x:c r="C93" s="162" t="str">
        <x:f>IF(A93="","",IF(A93&gt;$F$2,"",IF(A93=$F$2,$H$2,IFERROR(LOOKUP(2,1/(($G$7:$G$106&lt;&gt;"")*($G$7:$G$106&lt;=A93)),$H$7:$H$106),""))))</x:f>
      </x:c>
      <x:c r="D93" s="162" t="str">
        <x:f>IF(C93="","",C93-B93)</x:f>
      </x:c>
      <x:c r="E93" s="163" t="str">
        <x:f>IF(D93="","",IF(D93&gt;=0,"On / Ahead",IF(D93&gt;=-0.05,"Watch","Behind")))</x:f>
      </x:c>
      <x:c r="G93" s="167"/>
      <x:c r="H93" s="168"/>
      <x:c r="I93" s="170"/>
      <x:c r="J93"/>
      <x:c r="K93"/>
      <x:c r="L93"/>
      <x:c r="M93" t="str">
        <x:f>IF(A93="","",TEXT(A93,"mmm d"))</x:f>
      </x:c>
      <x:c r="N93" s="14" t="e">
        <x:f>IF(B93="",NA(),B93)</x:f>
        <x:v>#N/A</x:v>
      </x:c>
      <x:c r="O93" s="14" t="e">
        <x:f>IF(OR(P93="",$B$2="",$F$2="",P93&lt;$B$2,P93&gt;$F$2),NA(),IF(Q93=0,IF($F$2=$B$2,$H$2,MAX(0,MIN(1,$H$2*(3*MAX(0,MIN(1,(P93-$B$2)/($F$2-$B$2)))^2-2*MAX(0,MIN(1,(P93-$B$2)/($F$2-$B$2)))^3)))),MAX(0,MIN(1,T93+(V93-T93)*(3*W93^2-2*W93^3)))))</x:f>
        <x:v>#N/A</x:v>
      </x:c>
      <x:c r="P93" s="189" t="str">
        <x:f>A93</x:f>
      </x:c>
      <x:c r="Q93" t="n">
        <x:f>COUNT($G$7:$G$106)</x:f>
        <x:v>0</x:v>
      </x:c>
      <x:c r="R93" t="str">
        <x:f>IF(OR(P93="",$B$2="",$F$2="",P93&lt;$B$2,P93&gt;$F$2),"",IF(Q93=0,0,IF(P93&lt;$G$7,0,IF(P93&gt;=INDEX($G$7:$G$106,Q93),Q93,MATCH(P93,$G$7:$G$106,1)))))</x:f>
      </x:c>
      <x:c r="S93" t="str">
        <x:f>IF(R93="","",IF(R93=0,$B$2,INDEX($G$7:$G$106,R93)))</x:f>
      </x:c>
      <x:c r="T93" s="14" t="str">
        <x:f>IF(R93="","",IF(R93=0,0,INDEX($H$7:$H$106,R93)))</x:f>
      </x:c>
      <x:c r="U93" t="str">
        <x:f>IF(R93="","",IF(Q93=0,$F$2,IF(R93=0,$G$7,IF(R93&lt;Q93,INDEX($G$7:$G$106,R93+1),$F$2))))</x:f>
      </x:c>
      <x:c r="V93" s="14" t="str">
        <x:f>IF(R93="","",IF(Q93=0,$H$2,IF(R93=0,$H$7,IF(R93&lt;Q93,INDEX($H$7:$H$106,R93+1),$H$2))))</x:f>
      </x:c>
      <x:c r="W93" s="188" t="str">
        <x:f>IF(R93="","",IF(U93=S93,1,MAX(0,MIN(1,(P93-S93)/(U93-S93)))))</x:f>
      </x:c>
    </x:row>
    <x:row r="94">
      <x:c r="A94" s="159" t="str">
        <x:f>IF(OR(A93="",A93&gt;=$D$2),"",A93+1)</x:f>
      </x:c>
      <x:c r="B94" s="162" t="str">
        <x:f>IF(A94="","",IFERROR(SUMPRODUCT(--('Project Plan'!$A$7:$A$206&lt;&gt;""),('Project Plan'!$P$7:$P$206+('Project Plan'!$P$7:$P$206="")),--('Project Plan'!$F$7:$F$206&lt;&gt;""),--('Project Plan'!$G$7:$G$206&lt;&gt;""),((A94&gt;='Project Plan'!$G$7:$G$206)+((A94&gt;='Project Plan'!$F$7:$F$206)*(A94&lt;'Project Plan'!$G$7:$G$206)*(A94-'Project Plan'!$F$7:$F$206+1)/('Project Plan'!$G$7:$G$206-'Project Plan'!$F$7:$F$206+1))))/SUMPRODUCT(--('Project Plan'!$A$7:$A$206&lt;&gt;""),('Project Plan'!$P$7:$P$206+('Project Plan'!$P$7:$P$206=""))),0))</x:f>
      </x:c>
      <x:c r="C94" s="162" t="str">
        <x:f>IF(A94="","",IF(A94&gt;$F$2,"",IF(A94=$F$2,$H$2,IFERROR(LOOKUP(2,1/(($G$7:$G$106&lt;&gt;"")*($G$7:$G$106&lt;=A94)),$H$7:$H$106),""))))</x:f>
      </x:c>
      <x:c r="D94" s="162" t="str">
        <x:f>IF(C94="","",C94-B94)</x:f>
      </x:c>
      <x:c r="E94" s="163" t="str">
        <x:f>IF(D94="","",IF(D94&gt;=0,"On / Ahead",IF(D94&gt;=-0.05,"Watch","Behind")))</x:f>
      </x:c>
      <x:c r="G94" s="167"/>
      <x:c r="H94" s="168"/>
      <x:c r="I94" s="170"/>
      <x:c r="J94"/>
      <x:c r="K94"/>
      <x:c r="L94"/>
      <x:c r="M94" t="str">
        <x:f>IF(A94="","",TEXT(A94,"mmm d"))</x:f>
      </x:c>
      <x:c r="N94" s="14" t="e">
        <x:f>IF(B94="",NA(),B94)</x:f>
        <x:v>#N/A</x:v>
      </x:c>
      <x:c r="O94" s="14" t="e">
        <x:f>IF(OR(P94="",$B$2="",$F$2="",P94&lt;$B$2,P94&gt;$F$2),NA(),IF(Q94=0,IF($F$2=$B$2,$H$2,MAX(0,MIN(1,$H$2*(3*MAX(0,MIN(1,(P94-$B$2)/($F$2-$B$2)))^2-2*MAX(0,MIN(1,(P94-$B$2)/($F$2-$B$2)))^3)))),MAX(0,MIN(1,T94+(V94-T94)*(3*W94^2-2*W94^3)))))</x:f>
        <x:v>#N/A</x:v>
      </x:c>
      <x:c r="P94" s="189" t="str">
        <x:f>A94</x:f>
      </x:c>
      <x:c r="Q94" t="n">
        <x:f>COUNT($G$7:$G$106)</x:f>
        <x:v>0</x:v>
      </x:c>
      <x:c r="R94" t="str">
        <x:f>IF(OR(P94="",$B$2="",$F$2="",P94&lt;$B$2,P94&gt;$F$2),"",IF(Q94=0,0,IF(P94&lt;$G$7,0,IF(P94&gt;=INDEX($G$7:$G$106,Q94),Q94,MATCH(P94,$G$7:$G$106,1)))))</x:f>
      </x:c>
      <x:c r="S94" t="str">
        <x:f>IF(R94="","",IF(R94=0,$B$2,INDEX($G$7:$G$106,R94)))</x:f>
      </x:c>
      <x:c r="T94" s="14" t="str">
        <x:f>IF(R94="","",IF(R94=0,0,INDEX($H$7:$H$106,R94)))</x:f>
      </x:c>
      <x:c r="U94" t="str">
        <x:f>IF(R94="","",IF(Q94=0,$F$2,IF(R94=0,$G$7,IF(R94&lt;Q94,INDEX($G$7:$G$106,R94+1),$F$2))))</x:f>
      </x:c>
      <x:c r="V94" s="14" t="str">
        <x:f>IF(R94="","",IF(Q94=0,$H$2,IF(R94=0,$H$7,IF(R94&lt;Q94,INDEX($H$7:$H$106,R94+1),$H$2))))</x:f>
      </x:c>
      <x:c r="W94" s="188" t="str">
        <x:f>IF(R94="","",IF(U94=S94,1,MAX(0,MIN(1,(P94-S94)/(U94-S94)))))</x:f>
      </x:c>
    </x:row>
    <x:row r="95">
      <x:c r="A95" s="159" t="str">
        <x:f>IF(OR(A94="",A94&gt;=$D$2),"",A94+1)</x:f>
      </x:c>
      <x:c r="B95" s="162" t="str">
        <x:f>IF(A95="","",IFERROR(SUMPRODUCT(--('Project Plan'!$A$7:$A$206&lt;&gt;""),('Project Plan'!$P$7:$P$206+('Project Plan'!$P$7:$P$206="")),--('Project Plan'!$F$7:$F$206&lt;&gt;""),--('Project Plan'!$G$7:$G$206&lt;&gt;""),((A95&gt;='Project Plan'!$G$7:$G$206)+((A95&gt;='Project Plan'!$F$7:$F$206)*(A95&lt;'Project Plan'!$G$7:$G$206)*(A95-'Project Plan'!$F$7:$F$206+1)/('Project Plan'!$G$7:$G$206-'Project Plan'!$F$7:$F$206+1))))/SUMPRODUCT(--('Project Plan'!$A$7:$A$206&lt;&gt;""),('Project Plan'!$P$7:$P$206+('Project Plan'!$P$7:$P$206=""))),0))</x:f>
      </x:c>
      <x:c r="C95" s="162" t="str">
        <x:f>IF(A95="","",IF(A95&gt;$F$2,"",IF(A95=$F$2,$H$2,IFERROR(LOOKUP(2,1/(($G$7:$G$106&lt;&gt;"")*($G$7:$G$106&lt;=A95)),$H$7:$H$106),""))))</x:f>
      </x:c>
      <x:c r="D95" s="162" t="str">
        <x:f>IF(C95="","",C95-B95)</x:f>
      </x:c>
      <x:c r="E95" s="163" t="str">
        <x:f>IF(D95="","",IF(D95&gt;=0,"On / Ahead",IF(D95&gt;=-0.05,"Watch","Behind")))</x:f>
      </x:c>
      <x:c r="G95" s="167"/>
      <x:c r="H95" s="168"/>
      <x:c r="I95" s="170"/>
      <x:c r="J95"/>
      <x:c r="K95"/>
      <x:c r="L95"/>
      <x:c r="M95" t="str">
        <x:f>IF(A95="","",TEXT(A95,"mmm d"))</x:f>
      </x:c>
      <x:c r="N95" s="14" t="e">
        <x:f>IF(B95="",NA(),B95)</x:f>
        <x:v>#N/A</x:v>
      </x:c>
      <x:c r="O95" s="14" t="e">
        <x:f>IF(OR(P95="",$B$2="",$F$2="",P95&lt;$B$2,P95&gt;$F$2),NA(),IF(Q95=0,IF($F$2=$B$2,$H$2,MAX(0,MIN(1,$H$2*(3*MAX(0,MIN(1,(P95-$B$2)/($F$2-$B$2)))^2-2*MAX(0,MIN(1,(P95-$B$2)/($F$2-$B$2)))^3)))),MAX(0,MIN(1,T95+(V95-T95)*(3*W95^2-2*W95^3)))))</x:f>
        <x:v>#N/A</x:v>
      </x:c>
      <x:c r="P95" s="189" t="str">
        <x:f>A95</x:f>
      </x:c>
      <x:c r="Q95" t="n">
        <x:f>COUNT($G$7:$G$106)</x:f>
        <x:v>0</x:v>
      </x:c>
      <x:c r="R95" t="str">
        <x:f>IF(OR(P95="",$B$2="",$F$2="",P95&lt;$B$2,P95&gt;$F$2),"",IF(Q95=0,0,IF(P95&lt;$G$7,0,IF(P95&gt;=INDEX($G$7:$G$106,Q95),Q95,MATCH(P95,$G$7:$G$106,1)))))</x:f>
      </x:c>
      <x:c r="S95" t="str">
        <x:f>IF(R95="","",IF(R95=0,$B$2,INDEX($G$7:$G$106,R95)))</x:f>
      </x:c>
      <x:c r="T95" s="14" t="str">
        <x:f>IF(R95="","",IF(R95=0,0,INDEX($H$7:$H$106,R95)))</x:f>
      </x:c>
      <x:c r="U95" t="str">
        <x:f>IF(R95="","",IF(Q95=0,$F$2,IF(R95=0,$G$7,IF(R95&lt;Q95,INDEX($G$7:$G$106,R95+1),$F$2))))</x:f>
      </x:c>
      <x:c r="V95" s="14" t="str">
        <x:f>IF(R95="","",IF(Q95=0,$H$2,IF(R95=0,$H$7,IF(R95&lt;Q95,INDEX($H$7:$H$106,R95+1),$H$2))))</x:f>
      </x:c>
      <x:c r="W95" s="188" t="str">
        <x:f>IF(R95="","",IF(U95=S95,1,MAX(0,MIN(1,(P95-S95)/(U95-S95)))))</x:f>
      </x:c>
    </x:row>
    <x:row r="96">
      <x:c r="A96" s="159" t="str">
        <x:f>IF(OR(A95="",A95&gt;=$D$2),"",A95+1)</x:f>
      </x:c>
      <x:c r="B96" s="162" t="str">
        <x:f>IF(A96="","",IFERROR(SUMPRODUCT(--('Project Plan'!$A$7:$A$206&lt;&gt;""),('Project Plan'!$P$7:$P$206+('Project Plan'!$P$7:$P$206="")),--('Project Plan'!$F$7:$F$206&lt;&gt;""),--('Project Plan'!$G$7:$G$206&lt;&gt;""),((A96&gt;='Project Plan'!$G$7:$G$206)+((A96&gt;='Project Plan'!$F$7:$F$206)*(A96&lt;'Project Plan'!$G$7:$G$206)*(A96-'Project Plan'!$F$7:$F$206+1)/('Project Plan'!$G$7:$G$206-'Project Plan'!$F$7:$F$206+1))))/SUMPRODUCT(--('Project Plan'!$A$7:$A$206&lt;&gt;""),('Project Plan'!$P$7:$P$206+('Project Plan'!$P$7:$P$206=""))),0))</x:f>
      </x:c>
      <x:c r="C96" s="162" t="str">
        <x:f>IF(A96="","",IF(A96&gt;$F$2,"",IF(A96=$F$2,$H$2,IFERROR(LOOKUP(2,1/(($G$7:$G$106&lt;&gt;"")*($G$7:$G$106&lt;=A96)),$H$7:$H$106),""))))</x:f>
      </x:c>
      <x:c r="D96" s="162" t="str">
        <x:f>IF(C96="","",C96-B96)</x:f>
      </x:c>
      <x:c r="E96" s="163" t="str">
        <x:f>IF(D96="","",IF(D96&gt;=0,"On / Ahead",IF(D96&gt;=-0.05,"Watch","Behind")))</x:f>
      </x:c>
      <x:c r="G96" s="167"/>
      <x:c r="H96" s="168"/>
      <x:c r="I96" s="170"/>
      <x:c r="J96"/>
      <x:c r="K96"/>
      <x:c r="L96"/>
      <x:c r="M96" t="str">
        <x:f>IF(A96="","",TEXT(A96,"mmm d"))</x:f>
      </x:c>
      <x:c r="N96" s="14" t="e">
        <x:f>IF(B96="",NA(),B96)</x:f>
        <x:v>#N/A</x:v>
      </x:c>
      <x:c r="O96" s="14" t="e">
        <x:f>IF(OR(P96="",$B$2="",$F$2="",P96&lt;$B$2,P96&gt;$F$2),NA(),IF(Q96=0,IF($F$2=$B$2,$H$2,MAX(0,MIN(1,$H$2*(3*MAX(0,MIN(1,(P96-$B$2)/($F$2-$B$2)))^2-2*MAX(0,MIN(1,(P96-$B$2)/($F$2-$B$2)))^3)))),MAX(0,MIN(1,T96+(V96-T96)*(3*W96^2-2*W96^3)))))</x:f>
        <x:v>#N/A</x:v>
      </x:c>
      <x:c r="P96" s="189" t="str">
        <x:f>A96</x:f>
      </x:c>
      <x:c r="Q96" t="n">
        <x:f>COUNT($G$7:$G$106)</x:f>
        <x:v>0</x:v>
      </x:c>
      <x:c r="R96" t="str">
        <x:f>IF(OR(P96="",$B$2="",$F$2="",P96&lt;$B$2,P96&gt;$F$2),"",IF(Q96=0,0,IF(P96&lt;$G$7,0,IF(P96&gt;=INDEX($G$7:$G$106,Q96),Q96,MATCH(P96,$G$7:$G$106,1)))))</x:f>
      </x:c>
      <x:c r="S96" t="str">
        <x:f>IF(R96="","",IF(R96=0,$B$2,INDEX($G$7:$G$106,R96)))</x:f>
      </x:c>
      <x:c r="T96" s="14" t="str">
        <x:f>IF(R96="","",IF(R96=0,0,INDEX($H$7:$H$106,R96)))</x:f>
      </x:c>
      <x:c r="U96" t="str">
        <x:f>IF(R96="","",IF(Q96=0,$F$2,IF(R96=0,$G$7,IF(R96&lt;Q96,INDEX($G$7:$G$106,R96+1),$F$2))))</x:f>
      </x:c>
      <x:c r="V96" s="14" t="str">
        <x:f>IF(R96="","",IF(Q96=0,$H$2,IF(R96=0,$H$7,IF(R96&lt;Q96,INDEX($H$7:$H$106,R96+1),$H$2))))</x:f>
      </x:c>
      <x:c r="W96" s="188" t="str">
        <x:f>IF(R96="","",IF(U96=S96,1,MAX(0,MIN(1,(P96-S96)/(U96-S96)))))</x:f>
      </x:c>
    </x:row>
    <x:row r="97">
      <x:c r="A97" s="159" t="str">
        <x:f>IF(OR(A96="",A96&gt;=$D$2),"",A96+1)</x:f>
      </x:c>
      <x:c r="B97" s="162" t="str">
        <x:f>IF(A97="","",IFERROR(SUMPRODUCT(--('Project Plan'!$A$7:$A$206&lt;&gt;""),('Project Plan'!$P$7:$P$206+('Project Plan'!$P$7:$P$206="")),--('Project Plan'!$F$7:$F$206&lt;&gt;""),--('Project Plan'!$G$7:$G$206&lt;&gt;""),((A97&gt;='Project Plan'!$G$7:$G$206)+((A97&gt;='Project Plan'!$F$7:$F$206)*(A97&lt;'Project Plan'!$G$7:$G$206)*(A97-'Project Plan'!$F$7:$F$206+1)/('Project Plan'!$G$7:$G$206-'Project Plan'!$F$7:$F$206+1))))/SUMPRODUCT(--('Project Plan'!$A$7:$A$206&lt;&gt;""),('Project Plan'!$P$7:$P$206+('Project Plan'!$P$7:$P$206=""))),0))</x:f>
      </x:c>
      <x:c r="C97" s="162" t="str">
        <x:f>IF(A97="","",IF(A97&gt;$F$2,"",IF(A97=$F$2,$H$2,IFERROR(LOOKUP(2,1/(($G$7:$G$106&lt;&gt;"")*($G$7:$G$106&lt;=A97)),$H$7:$H$106),""))))</x:f>
      </x:c>
      <x:c r="D97" s="162" t="str">
        <x:f>IF(C97="","",C97-B97)</x:f>
      </x:c>
      <x:c r="E97" s="163" t="str">
        <x:f>IF(D97="","",IF(D97&gt;=0,"On / Ahead",IF(D97&gt;=-0.05,"Watch","Behind")))</x:f>
      </x:c>
      <x:c r="G97" s="167"/>
      <x:c r="H97" s="168"/>
      <x:c r="I97" s="170"/>
      <x:c r="J97"/>
      <x:c r="K97"/>
      <x:c r="L97"/>
      <x:c r="M97" t="str">
        <x:f>IF(A97="","",TEXT(A97,"mmm d"))</x:f>
      </x:c>
      <x:c r="N97" s="14" t="e">
        <x:f>IF(B97="",NA(),B97)</x:f>
        <x:v>#N/A</x:v>
      </x:c>
      <x:c r="O97" s="14" t="e">
        <x:f>IF(OR(P97="",$B$2="",$F$2="",P97&lt;$B$2,P97&gt;$F$2),NA(),IF(Q97=0,IF($F$2=$B$2,$H$2,MAX(0,MIN(1,$H$2*(3*MAX(0,MIN(1,(P97-$B$2)/($F$2-$B$2)))^2-2*MAX(0,MIN(1,(P97-$B$2)/($F$2-$B$2)))^3)))),MAX(0,MIN(1,T97+(V97-T97)*(3*W97^2-2*W97^3)))))</x:f>
        <x:v>#N/A</x:v>
      </x:c>
      <x:c r="P97" s="189" t="str">
        <x:f>A97</x:f>
      </x:c>
      <x:c r="Q97" t="n">
        <x:f>COUNT($G$7:$G$106)</x:f>
        <x:v>0</x:v>
      </x:c>
      <x:c r="R97" t="str">
        <x:f>IF(OR(P97="",$B$2="",$F$2="",P97&lt;$B$2,P97&gt;$F$2),"",IF(Q97=0,0,IF(P97&lt;$G$7,0,IF(P97&gt;=INDEX($G$7:$G$106,Q97),Q97,MATCH(P97,$G$7:$G$106,1)))))</x:f>
      </x:c>
      <x:c r="S97" t="str">
        <x:f>IF(R97="","",IF(R97=0,$B$2,INDEX($G$7:$G$106,R97)))</x:f>
      </x:c>
      <x:c r="T97" s="14" t="str">
        <x:f>IF(R97="","",IF(R97=0,0,INDEX($H$7:$H$106,R97)))</x:f>
      </x:c>
      <x:c r="U97" t="str">
        <x:f>IF(R97="","",IF(Q97=0,$F$2,IF(R97=0,$G$7,IF(R97&lt;Q97,INDEX($G$7:$G$106,R97+1),$F$2))))</x:f>
      </x:c>
      <x:c r="V97" s="14" t="str">
        <x:f>IF(R97="","",IF(Q97=0,$H$2,IF(R97=0,$H$7,IF(R97&lt;Q97,INDEX($H$7:$H$106,R97+1),$H$2))))</x:f>
      </x:c>
      <x:c r="W97" s="188" t="str">
        <x:f>IF(R97="","",IF(U97=S97,1,MAX(0,MIN(1,(P97-S97)/(U97-S97)))))</x:f>
      </x:c>
    </x:row>
    <x:row r="98">
      <x:c r="A98" s="159" t="str">
        <x:f>IF(OR(A97="",A97&gt;=$D$2),"",A97+1)</x:f>
      </x:c>
      <x:c r="B98" s="162" t="str">
        <x:f>IF(A98="","",IFERROR(SUMPRODUCT(--('Project Plan'!$A$7:$A$206&lt;&gt;""),('Project Plan'!$P$7:$P$206+('Project Plan'!$P$7:$P$206="")),--('Project Plan'!$F$7:$F$206&lt;&gt;""),--('Project Plan'!$G$7:$G$206&lt;&gt;""),((A98&gt;='Project Plan'!$G$7:$G$206)+((A98&gt;='Project Plan'!$F$7:$F$206)*(A98&lt;'Project Plan'!$G$7:$G$206)*(A98-'Project Plan'!$F$7:$F$206+1)/('Project Plan'!$G$7:$G$206-'Project Plan'!$F$7:$F$206+1))))/SUMPRODUCT(--('Project Plan'!$A$7:$A$206&lt;&gt;""),('Project Plan'!$P$7:$P$206+('Project Plan'!$P$7:$P$206=""))),0))</x:f>
      </x:c>
      <x:c r="C98" s="162" t="str">
        <x:f>IF(A98="","",IF(A98&gt;$F$2,"",IF(A98=$F$2,$H$2,IFERROR(LOOKUP(2,1/(($G$7:$G$106&lt;&gt;"")*($G$7:$G$106&lt;=A98)),$H$7:$H$106),""))))</x:f>
      </x:c>
      <x:c r="D98" s="162" t="str">
        <x:f>IF(C98="","",C98-B98)</x:f>
      </x:c>
      <x:c r="E98" s="163" t="str">
        <x:f>IF(D98="","",IF(D98&gt;=0,"On / Ahead",IF(D98&gt;=-0.05,"Watch","Behind")))</x:f>
      </x:c>
      <x:c r="G98" s="167"/>
      <x:c r="H98" s="168"/>
      <x:c r="I98" s="170"/>
      <x:c r="J98"/>
      <x:c r="K98"/>
      <x:c r="L98"/>
      <x:c r="M98" t="str">
        <x:f>IF(A98="","",TEXT(A98,"mmm d"))</x:f>
      </x:c>
      <x:c r="N98" s="14" t="e">
        <x:f>IF(B98="",NA(),B98)</x:f>
        <x:v>#N/A</x:v>
      </x:c>
      <x:c r="O98" s="14" t="e">
        <x:f>IF(OR(P98="",$B$2="",$F$2="",P98&lt;$B$2,P98&gt;$F$2),NA(),IF(Q98=0,IF($F$2=$B$2,$H$2,MAX(0,MIN(1,$H$2*(3*MAX(0,MIN(1,(P98-$B$2)/($F$2-$B$2)))^2-2*MAX(0,MIN(1,(P98-$B$2)/($F$2-$B$2)))^3)))),MAX(0,MIN(1,T98+(V98-T98)*(3*W98^2-2*W98^3)))))</x:f>
        <x:v>#N/A</x:v>
      </x:c>
      <x:c r="P98" s="189" t="str">
        <x:f>A98</x:f>
      </x:c>
      <x:c r="Q98" t="n">
        <x:f>COUNT($G$7:$G$106)</x:f>
        <x:v>0</x:v>
      </x:c>
      <x:c r="R98" t="str">
        <x:f>IF(OR(P98="",$B$2="",$F$2="",P98&lt;$B$2,P98&gt;$F$2),"",IF(Q98=0,0,IF(P98&lt;$G$7,0,IF(P98&gt;=INDEX($G$7:$G$106,Q98),Q98,MATCH(P98,$G$7:$G$106,1)))))</x:f>
      </x:c>
      <x:c r="S98" t="str">
        <x:f>IF(R98="","",IF(R98=0,$B$2,INDEX($G$7:$G$106,R98)))</x:f>
      </x:c>
      <x:c r="T98" s="14" t="str">
        <x:f>IF(R98="","",IF(R98=0,0,INDEX($H$7:$H$106,R98)))</x:f>
      </x:c>
      <x:c r="U98" t="str">
        <x:f>IF(R98="","",IF(Q98=0,$F$2,IF(R98=0,$G$7,IF(R98&lt;Q98,INDEX($G$7:$G$106,R98+1),$F$2))))</x:f>
      </x:c>
      <x:c r="V98" s="14" t="str">
        <x:f>IF(R98="","",IF(Q98=0,$H$2,IF(R98=0,$H$7,IF(R98&lt;Q98,INDEX($H$7:$H$106,R98+1),$H$2))))</x:f>
      </x:c>
      <x:c r="W98" s="188" t="str">
        <x:f>IF(R98="","",IF(U98=S98,1,MAX(0,MIN(1,(P98-S98)/(U98-S98)))))</x:f>
      </x:c>
    </x:row>
    <x:row r="99">
      <x:c r="A99" s="159" t="str">
        <x:f>IF(OR(A98="",A98&gt;=$D$2),"",A98+1)</x:f>
      </x:c>
      <x:c r="B99" s="162" t="str">
        <x:f>IF(A99="","",IFERROR(SUMPRODUCT(--('Project Plan'!$A$7:$A$206&lt;&gt;""),('Project Plan'!$P$7:$P$206+('Project Plan'!$P$7:$P$206="")),--('Project Plan'!$F$7:$F$206&lt;&gt;""),--('Project Plan'!$G$7:$G$206&lt;&gt;""),((A99&gt;='Project Plan'!$G$7:$G$206)+((A99&gt;='Project Plan'!$F$7:$F$206)*(A99&lt;'Project Plan'!$G$7:$G$206)*(A99-'Project Plan'!$F$7:$F$206+1)/('Project Plan'!$G$7:$G$206-'Project Plan'!$F$7:$F$206+1))))/SUMPRODUCT(--('Project Plan'!$A$7:$A$206&lt;&gt;""),('Project Plan'!$P$7:$P$206+('Project Plan'!$P$7:$P$206=""))),0))</x:f>
      </x:c>
      <x:c r="C99" s="162" t="str">
        <x:f>IF(A99="","",IF(A99&gt;$F$2,"",IF(A99=$F$2,$H$2,IFERROR(LOOKUP(2,1/(($G$7:$G$106&lt;&gt;"")*($G$7:$G$106&lt;=A99)),$H$7:$H$106),""))))</x:f>
      </x:c>
      <x:c r="D99" s="162" t="str">
        <x:f>IF(C99="","",C99-B99)</x:f>
      </x:c>
      <x:c r="E99" s="163" t="str">
        <x:f>IF(D99="","",IF(D99&gt;=0,"On / Ahead",IF(D99&gt;=-0.05,"Watch","Behind")))</x:f>
      </x:c>
      <x:c r="G99" s="167"/>
      <x:c r="H99" s="168"/>
      <x:c r="I99" s="170"/>
      <x:c r="J99"/>
      <x:c r="K99"/>
      <x:c r="L99"/>
      <x:c r="M99" t="str">
        <x:f>IF(A99="","",TEXT(A99,"mmm d"))</x:f>
      </x:c>
      <x:c r="N99" s="14" t="e">
        <x:f>IF(B99="",NA(),B99)</x:f>
        <x:v>#N/A</x:v>
      </x:c>
      <x:c r="O99" s="14" t="e">
        <x:f>IF(OR(P99="",$B$2="",$F$2="",P99&lt;$B$2,P99&gt;$F$2),NA(),IF(Q99=0,IF($F$2=$B$2,$H$2,MAX(0,MIN(1,$H$2*(3*MAX(0,MIN(1,(P99-$B$2)/($F$2-$B$2)))^2-2*MAX(0,MIN(1,(P99-$B$2)/($F$2-$B$2)))^3)))),MAX(0,MIN(1,T99+(V99-T99)*(3*W99^2-2*W99^3)))))</x:f>
        <x:v>#N/A</x:v>
      </x:c>
      <x:c r="P99" s="189" t="str">
        <x:f>A99</x:f>
      </x:c>
      <x:c r="Q99" t="n">
        <x:f>COUNT($G$7:$G$106)</x:f>
        <x:v>0</x:v>
      </x:c>
      <x:c r="R99" t="str">
        <x:f>IF(OR(P99="",$B$2="",$F$2="",P99&lt;$B$2,P99&gt;$F$2),"",IF(Q99=0,0,IF(P99&lt;$G$7,0,IF(P99&gt;=INDEX($G$7:$G$106,Q99),Q99,MATCH(P99,$G$7:$G$106,1)))))</x:f>
      </x:c>
      <x:c r="S99" t="str">
        <x:f>IF(R99="","",IF(R99=0,$B$2,INDEX($G$7:$G$106,R99)))</x:f>
      </x:c>
      <x:c r="T99" s="14" t="str">
        <x:f>IF(R99="","",IF(R99=0,0,INDEX($H$7:$H$106,R99)))</x:f>
      </x:c>
      <x:c r="U99" t="str">
        <x:f>IF(R99="","",IF(Q99=0,$F$2,IF(R99=0,$G$7,IF(R99&lt;Q99,INDEX($G$7:$G$106,R99+1),$F$2))))</x:f>
      </x:c>
      <x:c r="V99" s="14" t="str">
        <x:f>IF(R99="","",IF(Q99=0,$H$2,IF(R99=0,$H$7,IF(R99&lt;Q99,INDEX($H$7:$H$106,R99+1),$H$2))))</x:f>
      </x:c>
      <x:c r="W99" s="188" t="str">
        <x:f>IF(R99="","",IF(U99=S99,1,MAX(0,MIN(1,(P99-S99)/(U99-S99)))))</x:f>
      </x:c>
    </x:row>
    <x:row r="100">
      <x:c r="A100" s="159" t="str">
        <x:f>IF(OR(A99="",A99&gt;=$D$2),"",A99+1)</x:f>
      </x:c>
      <x:c r="B100" s="162" t="str">
        <x:f>IF(A100="","",IFERROR(SUMPRODUCT(--('Project Plan'!$A$7:$A$206&lt;&gt;""),('Project Plan'!$P$7:$P$206+('Project Plan'!$P$7:$P$206="")),--('Project Plan'!$F$7:$F$206&lt;&gt;""),--('Project Plan'!$G$7:$G$206&lt;&gt;""),((A100&gt;='Project Plan'!$G$7:$G$206)+((A100&gt;='Project Plan'!$F$7:$F$206)*(A100&lt;'Project Plan'!$G$7:$G$206)*(A100-'Project Plan'!$F$7:$F$206+1)/('Project Plan'!$G$7:$G$206-'Project Plan'!$F$7:$F$206+1))))/SUMPRODUCT(--('Project Plan'!$A$7:$A$206&lt;&gt;""),('Project Plan'!$P$7:$P$206+('Project Plan'!$P$7:$P$206=""))),0))</x:f>
      </x:c>
      <x:c r="C100" s="162" t="str">
        <x:f>IF(A100="","",IF(A100&gt;$F$2,"",IF(A100=$F$2,$H$2,IFERROR(LOOKUP(2,1/(($G$7:$G$106&lt;&gt;"")*($G$7:$G$106&lt;=A100)),$H$7:$H$106),""))))</x:f>
      </x:c>
      <x:c r="D100" s="162" t="str">
        <x:f>IF(C100="","",C100-B100)</x:f>
      </x:c>
      <x:c r="E100" s="163" t="str">
        <x:f>IF(D100="","",IF(D100&gt;=0,"On / Ahead",IF(D100&gt;=-0.05,"Watch","Behind")))</x:f>
      </x:c>
      <x:c r="G100" s="167"/>
      <x:c r="H100" s="168"/>
      <x:c r="I100" s="170"/>
      <x:c r="J100"/>
      <x:c r="K100"/>
      <x:c r="L100"/>
      <x:c r="M100" t="str">
        <x:f>IF(A100="","",TEXT(A100,"mmm d"))</x:f>
      </x:c>
      <x:c r="N100" s="14" t="e">
        <x:f>IF(B100="",NA(),B100)</x:f>
        <x:v>#N/A</x:v>
      </x:c>
      <x:c r="O100" s="14" t="e">
        <x:f>IF(OR(P100="",$B$2="",$F$2="",P100&lt;$B$2,P100&gt;$F$2),NA(),IF(Q100=0,IF($F$2=$B$2,$H$2,MAX(0,MIN(1,$H$2*(3*MAX(0,MIN(1,(P100-$B$2)/($F$2-$B$2)))^2-2*MAX(0,MIN(1,(P100-$B$2)/($F$2-$B$2)))^3)))),MAX(0,MIN(1,T100+(V100-T100)*(3*W100^2-2*W100^3)))))</x:f>
        <x:v>#N/A</x:v>
      </x:c>
      <x:c r="P100" s="189" t="str">
        <x:f>A100</x:f>
      </x:c>
      <x:c r="Q100" t="n">
        <x:f>COUNT($G$7:$G$106)</x:f>
        <x:v>0</x:v>
      </x:c>
      <x:c r="R100" t="str">
        <x:f>IF(OR(P100="",$B$2="",$F$2="",P100&lt;$B$2,P100&gt;$F$2),"",IF(Q100=0,0,IF(P100&lt;$G$7,0,IF(P100&gt;=INDEX($G$7:$G$106,Q100),Q100,MATCH(P100,$G$7:$G$106,1)))))</x:f>
      </x:c>
      <x:c r="S100" t="str">
        <x:f>IF(R100="","",IF(R100=0,$B$2,INDEX($G$7:$G$106,R100)))</x:f>
      </x:c>
      <x:c r="T100" s="14" t="str">
        <x:f>IF(R100="","",IF(R100=0,0,INDEX($H$7:$H$106,R100)))</x:f>
      </x:c>
      <x:c r="U100" t="str">
        <x:f>IF(R100="","",IF(Q100=0,$F$2,IF(R100=0,$G$7,IF(R100&lt;Q100,INDEX($G$7:$G$106,R100+1),$F$2))))</x:f>
      </x:c>
      <x:c r="V100" s="14" t="str">
        <x:f>IF(R100="","",IF(Q100=0,$H$2,IF(R100=0,$H$7,IF(R100&lt;Q100,INDEX($H$7:$H$106,R100+1),$H$2))))</x:f>
      </x:c>
      <x:c r="W100" s="188" t="str">
        <x:f>IF(R100="","",IF(U100=S100,1,MAX(0,MIN(1,(P100-S100)/(U100-S100)))))</x:f>
      </x:c>
    </x:row>
    <x:row r="101">
      <x:c r="A101" s="159" t="str">
        <x:f>IF(OR(A100="",A100&gt;=$D$2),"",A100+1)</x:f>
      </x:c>
      <x:c r="B101" s="162" t="str">
        <x:f>IF(A101="","",IFERROR(SUMPRODUCT(--('Project Plan'!$A$7:$A$206&lt;&gt;""),('Project Plan'!$P$7:$P$206+('Project Plan'!$P$7:$P$206="")),--('Project Plan'!$F$7:$F$206&lt;&gt;""),--('Project Plan'!$G$7:$G$206&lt;&gt;""),((A101&gt;='Project Plan'!$G$7:$G$206)+((A101&gt;='Project Plan'!$F$7:$F$206)*(A101&lt;'Project Plan'!$G$7:$G$206)*(A101-'Project Plan'!$F$7:$F$206+1)/('Project Plan'!$G$7:$G$206-'Project Plan'!$F$7:$F$206+1))))/SUMPRODUCT(--('Project Plan'!$A$7:$A$206&lt;&gt;""),('Project Plan'!$P$7:$P$206+('Project Plan'!$P$7:$P$206=""))),0))</x:f>
      </x:c>
      <x:c r="C101" s="162" t="str">
        <x:f>IF(A101="","",IF(A101&gt;$F$2,"",IF(A101=$F$2,$H$2,IFERROR(LOOKUP(2,1/(($G$7:$G$106&lt;&gt;"")*($G$7:$G$106&lt;=A101)),$H$7:$H$106),""))))</x:f>
      </x:c>
      <x:c r="D101" s="162" t="str">
        <x:f>IF(C101="","",C101-B101)</x:f>
      </x:c>
      <x:c r="E101" s="163" t="str">
        <x:f>IF(D101="","",IF(D101&gt;=0,"On / Ahead",IF(D101&gt;=-0.05,"Watch","Behind")))</x:f>
      </x:c>
      <x:c r="G101" s="167"/>
      <x:c r="H101" s="168"/>
      <x:c r="I101" s="170"/>
      <x:c r="J101"/>
      <x:c r="K101"/>
      <x:c r="L101"/>
      <x:c r="M101" t="str">
        <x:f>IF(A101="","",TEXT(A101,"mmm d"))</x:f>
      </x:c>
      <x:c r="N101" s="14" t="e">
        <x:f>IF(B101="",NA(),B101)</x:f>
        <x:v>#N/A</x:v>
      </x:c>
      <x:c r="O101" s="14" t="e">
        <x:f>IF(OR(P101="",$B$2="",$F$2="",P101&lt;$B$2,P101&gt;$F$2),NA(),IF(Q101=0,IF($F$2=$B$2,$H$2,MAX(0,MIN(1,$H$2*(3*MAX(0,MIN(1,(P101-$B$2)/($F$2-$B$2)))^2-2*MAX(0,MIN(1,(P101-$B$2)/($F$2-$B$2)))^3)))),MAX(0,MIN(1,T101+(V101-T101)*(3*W101^2-2*W101^3)))))</x:f>
        <x:v>#N/A</x:v>
      </x:c>
      <x:c r="P101" s="189" t="str">
        <x:f>A101</x:f>
      </x:c>
      <x:c r="Q101" t="n">
        <x:f>COUNT($G$7:$G$106)</x:f>
        <x:v>0</x:v>
      </x:c>
      <x:c r="R101" t="str">
        <x:f>IF(OR(P101="",$B$2="",$F$2="",P101&lt;$B$2,P101&gt;$F$2),"",IF(Q101=0,0,IF(P101&lt;$G$7,0,IF(P101&gt;=INDEX($G$7:$G$106,Q101),Q101,MATCH(P101,$G$7:$G$106,1)))))</x:f>
      </x:c>
      <x:c r="S101" t="str">
        <x:f>IF(R101="","",IF(R101=0,$B$2,INDEX($G$7:$G$106,R101)))</x:f>
      </x:c>
      <x:c r="T101" s="14" t="str">
        <x:f>IF(R101="","",IF(R101=0,0,INDEX($H$7:$H$106,R101)))</x:f>
      </x:c>
      <x:c r="U101" t="str">
        <x:f>IF(R101="","",IF(Q101=0,$F$2,IF(R101=0,$G$7,IF(R101&lt;Q101,INDEX($G$7:$G$106,R101+1),$F$2))))</x:f>
      </x:c>
      <x:c r="V101" s="14" t="str">
        <x:f>IF(R101="","",IF(Q101=0,$H$2,IF(R101=0,$H$7,IF(R101&lt;Q101,INDEX($H$7:$H$106,R101+1),$H$2))))</x:f>
      </x:c>
      <x:c r="W101" s="188" t="str">
        <x:f>IF(R101="","",IF(U101=S101,1,MAX(0,MIN(1,(P101-S101)/(U101-S101)))))</x:f>
      </x:c>
    </x:row>
    <x:row r="102">
      <x:c r="A102" s="159" t="str">
        <x:f>IF(OR(A101="",A101&gt;=$D$2),"",A101+1)</x:f>
      </x:c>
      <x:c r="B102" s="162" t="str">
        <x:f>IF(A102="","",IFERROR(SUMPRODUCT(--('Project Plan'!$A$7:$A$206&lt;&gt;""),('Project Plan'!$P$7:$P$206+('Project Plan'!$P$7:$P$206="")),--('Project Plan'!$F$7:$F$206&lt;&gt;""),--('Project Plan'!$G$7:$G$206&lt;&gt;""),((A102&gt;='Project Plan'!$G$7:$G$206)+((A102&gt;='Project Plan'!$F$7:$F$206)*(A102&lt;'Project Plan'!$G$7:$G$206)*(A102-'Project Plan'!$F$7:$F$206+1)/('Project Plan'!$G$7:$G$206-'Project Plan'!$F$7:$F$206+1))))/SUMPRODUCT(--('Project Plan'!$A$7:$A$206&lt;&gt;""),('Project Plan'!$P$7:$P$206+('Project Plan'!$P$7:$P$206=""))),0))</x:f>
      </x:c>
      <x:c r="C102" s="162" t="str">
        <x:f>IF(A102="","",IF(A102&gt;$F$2,"",IF(A102=$F$2,$H$2,IFERROR(LOOKUP(2,1/(($G$7:$G$106&lt;&gt;"")*($G$7:$G$106&lt;=A102)),$H$7:$H$106),""))))</x:f>
      </x:c>
      <x:c r="D102" s="162" t="str">
        <x:f>IF(C102="","",C102-B102)</x:f>
      </x:c>
      <x:c r="E102" s="163" t="str">
        <x:f>IF(D102="","",IF(D102&gt;=0,"On / Ahead",IF(D102&gt;=-0.05,"Watch","Behind")))</x:f>
      </x:c>
      <x:c r="G102" s="167"/>
      <x:c r="H102" s="168"/>
      <x:c r="I102" s="170"/>
      <x:c r="J102"/>
      <x:c r="K102"/>
      <x:c r="L102"/>
      <x:c r="M102" t="str">
        <x:f>IF(A102="","",TEXT(A102,"mmm d"))</x:f>
      </x:c>
      <x:c r="N102" s="14" t="e">
        <x:f>IF(B102="",NA(),B102)</x:f>
        <x:v>#N/A</x:v>
      </x:c>
      <x:c r="O102" s="14" t="e">
        <x:f>IF(OR(P102="",$B$2="",$F$2="",P102&lt;$B$2,P102&gt;$F$2),NA(),IF(Q102=0,IF($F$2=$B$2,$H$2,MAX(0,MIN(1,$H$2*(3*MAX(0,MIN(1,(P102-$B$2)/($F$2-$B$2)))^2-2*MAX(0,MIN(1,(P102-$B$2)/($F$2-$B$2)))^3)))),MAX(0,MIN(1,T102+(V102-T102)*(3*W102^2-2*W102^3)))))</x:f>
        <x:v>#N/A</x:v>
      </x:c>
      <x:c r="P102" s="189" t="str">
        <x:f>A102</x:f>
      </x:c>
      <x:c r="Q102" t="n">
        <x:f>COUNT($G$7:$G$106)</x:f>
        <x:v>0</x:v>
      </x:c>
      <x:c r="R102" t="str">
        <x:f>IF(OR(P102="",$B$2="",$F$2="",P102&lt;$B$2,P102&gt;$F$2),"",IF(Q102=0,0,IF(P102&lt;$G$7,0,IF(P102&gt;=INDEX($G$7:$G$106,Q102),Q102,MATCH(P102,$G$7:$G$106,1)))))</x:f>
      </x:c>
      <x:c r="S102" t="str">
        <x:f>IF(R102="","",IF(R102=0,$B$2,INDEX($G$7:$G$106,R102)))</x:f>
      </x:c>
      <x:c r="T102" s="14" t="str">
        <x:f>IF(R102="","",IF(R102=0,0,INDEX($H$7:$H$106,R102)))</x:f>
      </x:c>
      <x:c r="U102" t="str">
        <x:f>IF(R102="","",IF(Q102=0,$F$2,IF(R102=0,$G$7,IF(R102&lt;Q102,INDEX($G$7:$G$106,R102+1),$F$2))))</x:f>
      </x:c>
      <x:c r="V102" s="14" t="str">
        <x:f>IF(R102="","",IF(Q102=0,$H$2,IF(R102=0,$H$7,IF(R102&lt;Q102,INDEX($H$7:$H$106,R102+1),$H$2))))</x:f>
      </x:c>
      <x:c r="W102" s="188" t="str">
        <x:f>IF(R102="","",IF(U102=S102,1,MAX(0,MIN(1,(P102-S102)/(U102-S102)))))</x:f>
      </x:c>
    </x:row>
    <x:row r="103">
      <x:c r="A103" s="159" t="str">
        <x:f>IF(OR(A102="",A102&gt;=$D$2),"",A102+1)</x:f>
      </x:c>
      <x:c r="B103" s="162" t="str">
        <x:f>IF(A103="","",IFERROR(SUMPRODUCT(--('Project Plan'!$A$7:$A$206&lt;&gt;""),('Project Plan'!$P$7:$P$206+('Project Plan'!$P$7:$P$206="")),--('Project Plan'!$F$7:$F$206&lt;&gt;""),--('Project Plan'!$G$7:$G$206&lt;&gt;""),((A103&gt;='Project Plan'!$G$7:$G$206)+((A103&gt;='Project Plan'!$F$7:$F$206)*(A103&lt;'Project Plan'!$G$7:$G$206)*(A103-'Project Plan'!$F$7:$F$206+1)/('Project Plan'!$G$7:$G$206-'Project Plan'!$F$7:$F$206+1))))/SUMPRODUCT(--('Project Plan'!$A$7:$A$206&lt;&gt;""),('Project Plan'!$P$7:$P$206+('Project Plan'!$P$7:$P$206=""))),0))</x:f>
      </x:c>
      <x:c r="C103" s="162" t="str">
        <x:f>IF(A103="","",IF(A103&gt;$F$2,"",IF(A103=$F$2,$H$2,IFERROR(LOOKUP(2,1/(($G$7:$G$106&lt;&gt;"")*($G$7:$G$106&lt;=A103)),$H$7:$H$106),""))))</x:f>
      </x:c>
      <x:c r="D103" s="162" t="str">
        <x:f>IF(C103="","",C103-B103)</x:f>
      </x:c>
      <x:c r="E103" s="163" t="str">
        <x:f>IF(D103="","",IF(D103&gt;=0,"On / Ahead",IF(D103&gt;=-0.05,"Watch","Behind")))</x:f>
      </x:c>
      <x:c r="G103" s="167"/>
      <x:c r="H103" s="168"/>
      <x:c r="I103" s="170"/>
      <x:c r="J103"/>
      <x:c r="K103"/>
      <x:c r="L103"/>
      <x:c r="M103" t="str">
        <x:f>IF(A103="","",TEXT(A103,"mmm d"))</x:f>
      </x:c>
      <x:c r="N103" s="14" t="e">
        <x:f>IF(B103="",NA(),B103)</x:f>
        <x:v>#N/A</x:v>
      </x:c>
      <x:c r="O103" s="14" t="e">
        <x:f>IF(OR(P103="",$B$2="",$F$2="",P103&lt;$B$2,P103&gt;$F$2),NA(),IF(Q103=0,IF($F$2=$B$2,$H$2,MAX(0,MIN(1,$H$2*(3*MAX(0,MIN(1,(P103-$B$2)/($F$2-$B$2)))^2-2*MAX(0,MIN(1,(P103-$B$2)/($F$2-$B$2)))^3)))),MAX(0,MIN(1,T103+(V103-T103)*(3*W103^2-2*W103^3)))))</x:f>
        <x:v>#N/A</x:v>
      </x:c>
      <x:c r="P103" s="189" t="str">
        <x:f>A103</x:f>
      </x:c>
      <x:c r="Q103" t="n">
        <x:f>COUNT($G$7:$G$106)</x:f>
        <x:v>0</x:v>
      </x:c>
      <x:c r="R103" t="str">
        <x:f>IF(OR(P103="",$B$2="",$F$2="",P103&lt;$B$2,P103&gt;$F$2),"",IF(Q103=0,0,IF(P103&lt;$G$7,0,IF(P103&gt;=INDEX($G$7:$G$106,Q103),Q103,MATCH(P103,$G$7:$G$106,1)))))</x:f>
      </x:c>
      <x:c r="S103" t="str">
        <x:f>IF(R103="","",IF(R103=0,$B$2,INDEX($G$7:$G$106,R103)))</x:f>
      </x:c>
      <x:c r="T103" s="14" t="str">
        <x:f>IF(R103="","",IF(R103=0,0,INDEX($H$7:$H$106,R103)))</x:f>
      </x:c>
      <x:c r="U103" t="str">
        <x:f>IF(R103="","",IF(Q103=0,$F$2,IF(R103=0,$G$7,IF(R103&lt;Q103,INDEX($G$7:$G$106,R103+1),$F$2))))</x:f>
      </x:c>
      <x:c r="V103" s="14" t="str">
        <x:f>IF(R103="","",IF(Q103=0,$H$2,IF(R103=0,$H$7,IF(R103&lt;Q103,INDEX($H$7:$H$106,R103+1),$H$2))))</x:f>
      </x:c>
      <x:c r="W103" s="188" t="str">
        <x:f>IF(R103="","",IF(U103=S103,1,MAX(0,MIN(1,(P103-S103)/(U103-S103)))))</x:f>
      </x:c>
    </x:row>
    <x:row r="104">
      <x:c r="A104" s="159" t="str">
        <x:f>IF(OR(A103="",A103&gt;=$D$2),"",A103+1)</x:f>
      </x:c>
      <x:c r="B104" s="162" t="str">
        <x:f>IF(A104="","",IFERROR(SUMPRODUCT(--('Project Plan'!$A$7:$A$206&lt;&gt;""),('Project Plan'!$P$7:$P$206+('Project Plan'!$P$7:$P$206="")),--('Project Plan'!$F$7:$F$206&lt;&gt;""),--('Project Plan'!$G$7:$G$206&lt;&gt;""),((A104&gt;='Project Plan'!$G$7:$G$206)+((A104&gt;='Project Plan'!$F$7:$F$206)*(A104&lt;'Project Plan'!$G$7:$G$206)*(A104-'Project Plan'!$F$7:$F$206+1)/('Project Plan'!$G$7:$G$206-'Project Plan'!$F$7:$F$206+1))))/SUMPRODUCT(--('Project Plan'!$A$7:$A$206&lt;&gt;""),('Project Plan'!$P$7:$P$206+('Project Plan'!$P$7:$P$206=""))),0))</x:f>
      </x:c>
      <x:c r="C104" s="162" t="str">
        <x:f>IF(A104="","",IF(A104&gt;$F$2,"",IF(A104=$F$2,$H$2,IFERROR(LOOKUP(2,1/(($G$7:$G$106&lt;&gt;"")*($G$7:$G$106&lt;=A104)),$H$7:$H$106),""))))</x:f>
      </x:c>
      <x:c r="D104" s="162" t="str">
        <x:f>IF(C104="","",C104-B104)</x:f>
      </x:c>
      <x:c r="E104" s="163" t="str">
        <x:f>IF(D104="","",IF(D104&gt;=0,"On / Ahead",IF(D104&gt;=-0.05,"Watch","Behind")))</x:f>
      </x:c>
      <x:c r="G104" s="167"/>
      <x:c r="H104" s="168"/>
      <x:c r="I104" s="170"/>
      <x:c r="J104"/>
      <x:c r="K104"/>
      <x:c r="L104"/>
      <x:c r="M104" t="str">
        <x:f>IF(A104="","",TEXT(A104,"mmm d"))</x:f>
      </x:c>
      <x:c r="N104" s="14" t="e">
        <x:f>IF(B104="",NA(),B104)</x:f>
        <x:v>#N/A</x:v>
      </x:c>
      <x:c r="O104" s="14" t="e">
        <x:f>IF(OR(P104="",$B$2="",$F$2="",P104&lt;$B$2,P104&gt;$F$2),NA(),IF(Q104=0,IF($F$2=$B$2,$H$2,MAX(0,MIN(1,$H$2*(3*MAX(0,MIN(1,(P104-$B$2)/($F$2-$B$2)))^2-2*MAX(0,MIN(1,(P104-$B$2)/($F$2-$B$2)))^3)))),MAX(0,MIN(1,T104+(V104-T104)*(3*W104^2-2*W104^3)))))</x:f>
        <x:v>#N/A</x:v>
      </x:c>
      <x:c r="P104" s="189" t="str">
        <x:f>A104</x:f>
      </x:c>
      <x:c r="Q104" t="n">
        <x:f>COUNT($G$7:$G$106)</x:f>
        <x:v>0</x:v>
      </x:c>
      <x:c r="R104" t="str">
        <x:f>IF(OR(P104="",$B$2="",$F$2="",P104&lt;$B$2,P104&gt;$F$2),"",IF(Q104=0,0,IF(P104&lt;$G$7,0,IF(P104&gt;=INDEX($G$7:$G$106,Q104),Q104,MATCH(P104,$G$7:$G$106,1)))))</x:f>
      </x:c>
      <x:c r="S104" t="str">
        <x:f>IF(R104="","",IF(R104=0,$B$2,INDEX($G$7:$G$106,R104)))</x:f>
      </x:c>
      <x:c r="T104" s="14" t="str">
        <x:f>IF(R104="","",IF(R104=0,0,INDEX($H$7:$H$106,R104)))</x:f>
      </x:c>
      <x:c r="U104" t="str">
        <x:f>IF(R104="","",IF(Q104=0,$F$2,IF(R104=0,$G$7,IF(R104&lt;Q104,INDEX($G$7:$G$106,R104+1),$F$2))))</x:f>
      </x:c>
      <x:c r="V104" s="14" t="str">
        <x:f>IF(R104="","",IF(Q104=0,$H$2,IF(R104=0,$H$7,IF(R104&lt;Q104,INDEX($H$7:$H$106,R104+1),$H$2))))</x:f>
      </x:c>
      <x:c r="W104" s="188" t="str">
        <x:f>IF(R104="","",IF(U104=S104,1,MAX(0,MIN(1,(P104-S104)/(U104-S104)))))</x:f>
      </x:c>
    </x:row>
    <x:row r="105">
      <x:c r="A105" s="159" t="str">
        <x:f>IF(OR(A104="",A104&gt;=$D$2),"",A104+1)</x:f>
      </x:c>
      <x:c r="B105" s="162" t="str">
        <x:f>IF(A105="","",IFERROR(SUMPRODUCT(--('Project Plan'!$A$7:$A$206&lt;&gt;""),('Project Plan'!$P$7:$P$206+('Project Plan'!$P$7:$P$206="")),--('Project Plan'!$F$7:$F$206&lt;&gt;""),--('Project Plan'!$G$7:$G$206&lt;&gt;""),((A105&gt;='Project Plan'!$G$7:$G$206)+((A105&gt;='Project Plan'!$F$7:$F$206)*(A105&lt;'Project Plan'!$G$7:$G$206)*(A105-'Project Plan'!$F$7:$F$206+1)/('Project Plan'!$G$7:$G$206-'Project Plan'!$F$7:$F$206+1))))/SUMPRODUCT(--('Project Plan'!$A$7:$A$206&lt;&gt;""),('Project Plan'!$P$7:$P$206+('Project Plan'!$P$7:$P$206=""))),0))</x:f>
      </x:c>
      <x:c r="C105" s="162" t="str">
        <x:f>IF(A105="","",IF(A105&gt;$F$2,"",IF(A105=$F$2,$H$2,IFERROR(LOOKUP(2,1/(($G$7:$G$106&lt;&gt;"")*($G$7:$G$106&lt;=A105)),$H$7:$H$106),""))))</x:f>
      </x:c>
      <x:c r="D105" s="162" t="str">
        <x:f>IF(C105="","",C105-B105)</x:f>
      </x:c>
      <x:c r="E105" s="163" t="str">
        <x:f>IF(D105="","",IF(D105&gt;=0,"On / Ahead",IF(D105&gt;=-0.05,"Watch","Behind")))</x:f>
      </x:c>
      <x:c r="G105" s="167"/>
      <x:c r="H105" s="168"/>
      <x:c r="I105" s="170"/>
      <x:c r="J105"/>
      <x:c r="K105"/>
      <x:c r="L105"/>
      <x:c r="M105" t="str">
        <x:f>IF(A105="","",TEXT(A105,"mmm d"))</x:f>
      </x:c>
      <x:c r="N105" s="14" t="e">
        <x:f>IF(B105="",NA(),B105)</x:f>
        <x:v>#N/A</x:v>
      </x:c>
      <x:c r="O105" s="14" t="e">
        <x:f>IF(OR(P105="",$B$2="",$F$2="",P105&lt;$B$2,P105&gt;$F$2),NA(),IF(Q105=0,IF($F$2=$B$2,$H$2,MAX(0,MIN(1,$H$2*(3*MAX(0,MIN(1,(P105-$B$2)/($F$2-$B$2)))^2-2*MAX(0,MIN(1,(P105-$B$2)/($F$2-$B$2)))^3)))),MAX(0,MIN(1,T105+(V105-T105)*(3*W105^2-2*W105^3)))))</x:f>
        <x:v>#N/A</x:v>
      </x:c>
      <x:c r="P105" s="189" t="str">
        <x:f>A105</x:f>
      </x:c>
      <x:c r="Q105" t="n">
        <x:f>COUNT($G$7:$G$106)</x:f>
        <x:v>0</x:v>
      </x:c>
      <x:c r="R105" t="str">
        <x:f>IF(OR(P105="",$B$2="",$F$2="",P105&lt;$B$2,P105&gt;$F$2),"",IF(Q105=0,0,IF(P105&lt;$G$7,0,IF(P105&gt;=INDEX($G$7:$G$106,Q105),Q105,MATCH(P105,$G$7:$G$106,1)))))</x:f>
      </x:c>
      <x:c r="S105" t="str">
        <x:f>IF(R105="","",IF(R105=0,$B$2,INDEX($G$7:$G$106,R105)))</x:f>
      </x:c>
      <x:c r="T105" s="14" t="str">
        <x:f>IF(R105="","",IF(R105=0,0,INDEX($H$7:$H$106,R105)))</x:f>
      </x:c>
      <x:c r="U105" t="str">
        <x:f>IF(R105="","",IF(Q105=0,$F$2,IF(R105=0,$G$7,IF(R105&lt;Q105,INDEX($G$7:$G$106,R105+1),$F$2))))</x:f>
      </x:c>
      <x:c r="V105" s="14" t="str">
        <x:f>IF(R105="","",IF(Q105=0,$H$2,IF(R105=0,$H$7,IF(R105&lt;Q105,INDEX($H$7:$H$106,R105+1),$H$2))))</x:f>
      </x:c>
      <x:c r="W105" s="188" t="str">
        <x:f>IF(R105="","",IF(U105=S105,1,MAX(0,MIN(1,(P105-S105)/(U105-S105)))))</x:f>
      </x:c>
    </x:row>
    <x:row r="106">
      <x:c r="A106" s="159" t="str">
        <x:f>IF(OR(A105="",A105&gt;=$D$2),"",A105+1)</x:f>
      </x:c>
      <x:c r="B106" s="162" t="str">
        <x:f>IF(A106="","",IFERROR(SUMPRODUCT(--('Project Plan'!$A$7:$A$206&lt;&gt;""),('Project Plan'!$P$7:$P$206+('Project Plan'!$P$7:$P$206="")),--('Project Plan'!$F$7:$F$206&lt;&gt;""),--('Project Plan'!$G$7:$G$206&lt;&gt;""),((A106&gt;='Project Plan'!$G$7:$G$206)+((A106&gt;='Project Plan'!$F$7:$F$206)*(A106&lt;'Project Plan'!$G$7:$G$206)*(A106-'Project Plan'!$F$7:$F$206+1)/('Project Plan'!$G$7:$G$206-'Project Plan'!$F$7:$F$206+1))))/SUMPRODUCT(--('Project Plan'!$A$7:$A$206&lt;&gt;""),('Project Plan'!$P$7:$P$206+('Project Plan'!$P$7:$P$206=""))),0))</x:f>
      </x:c>
      <x:c r="C106" s="162" t="str">
        <x:f>IF(A106="","",IF(A106&gt;$F$2,"",IF(A106=$F$2,$H$2,IFERROR(LOOKUP(2,1/(($G$7:$G$106&lt;&gt;"")*($G$7:$G$106&lt;=A106)),$H$7:$H$106),""))))</x:f>
      </x:c>
      <x:c r="D106" s="162" t="str">
        <x:f>IF(C106="","",C106-B106)</x:f>
      </x:c>
      <x:c r="E106" s="163" t="str">
        <x:f>IF(D106="","",IF(D106&gt;=0,"On / Ahead",IF(D106&gt;=-0.05,"Watch","Behind")))</x:f>
      </x:c>
      <x:c r="G106" s="167"/>
      <x:c r="H106" s="168"/>
      <x:c r="I106" s="170"/>
      <x:c r="J106"/>
      <x:c r="K106"/>
      <x:c r="L106"/>
      <x:c r="M106" t="str">
        <x:f>IF(A106="","",TEXT(A106,"mmm d"))</x:f>
      </x:c>
      <x:c r="N106" s="14" t="e">
        <x:f>IF(B106="",NA(),B106)</x:f>
        <x:v>#N/A</x:v>
      </x:c>
      <x:c r="O106" s="14" t="e">
        <x:f>IF(OR(P106="",$B$2="",$F$2="",P106&lt;$B$2,P106&gt;$F$2),NA(),IF(Q106=0,IF($F$2=$B$2,$H$2,MAX(0,MIN(1,$H$2*(3*MAX(0,MIN(1,(P106-$B$2)/($F$2-$B$2)))^2-2*MAX(0,MIN(1,(P106-$B$2)/($F$2-$B$2)))^3)))),MAX(0,MIN(1,T106+(V106-T106)*(3*W106^2-2*W106^3)))))</x:f>
        <x:v>#N/A</x:v>
      </x:c>
      <x:c r="P106" s="189" t="str">
        <x:f>A106</x:f>
      </x:c>
      <x:c r="Q106" t="n">
        <x:f>COUNT($G$7:$G$106)</x:f>
        <x:v>0</x:v>
      </x:c>
      <x:c r="R106" t="str">
        <x:f>IF(OR(P106="",$B$2="",$F$2="",P106&lt;$B$2,P106&gt;$F$2),"",IF(Q106=0,0,IF(P106&lt;$G$7,0,IF(P106&gt;=INDEX($G$7:$G$106,Q106),Q106,MATCH(P106,$G$7:$G$106,1)))))</x:f>
      </x:c>
      <x:c r="S106" t="str">
        <x:f>IF(R106="","",IF(R106=0,$B$2,INDEX($G$7:$G$106,R106)))</x:f>
      </x:c>
      <x:c r="T106" s="14" t="str">
        <x:f>IF(R106="","",IF(R106=0,0,INDEX($H$7:$H$106,R106)))</x:f>
      </x:c>
      <x:c r="U106" t="str">
        <x:f>IF(R106="","",IF(Q106=0,$F$2,IF(R106=0,$G$7,IF(R106&lt;Q106,INDEX($G$7:$G$106,R106+1),$F$2))))</x:f>
      </x:c>
      <x:c r="V106" s="14" t="str">
        <x:f>IF(R106="","",IF(Q106=0,$H$2,IF(R106=0,$H$7,IF(R106&lt;Q106,INDEX($H$7:$H$106,R106+1),$H$2))))</x:f>
      </x:c>
      <x:c r="W106" s="188" t="str">
        <x:f>IF(R106="","",IF(U106=S106,1,MAX(0,MIN(1,(P106-S106)/(U106-S106)))))</x:f>
      </x:c>
    </x:row>
    <x:row r="107">
      <x:c r="A107" s="159" t="str">
        <x:f>IF(OR(A106="",A106&gt;=$D$2),"",A106+1)</x:f>
      </x:c>
      <x:c r="B107" s="162" t="str">
        <x:f>IF(A107="","",IFERROR(SUMPRODUCT(--('Project Plan'!$A$7:$A$206&lt;&gt;""),('Project Plan'!$P$7:$P$206+('Project Plan'!$P$7:$P$206="")),--('Project Plan'!$F$7:$F$206&lt;&gt;""),--('Project Plan'!$G$7:$G$206&lt;&gt;""),((A107&gt;='Project Plan'!$G$7:$G$206)+((A107&gt;='Project Plan'!$F$7:$F$206)*(A107&lt;'Project Plan'!$G$7:$G$206)*(A107-'Project Plan'!$F$7:$F$206+1)/('Project Plan'!$G$7:$G$206-'Project Plan'!$F$7:$F$206+1))))/SUMPRODUCT(--('Project Plan'!$A$7:$A$206&lt;&gt;""),('Project Plan'!$P$7:$P$206+('Project Plan'!$P$7:$P$206=""))),0))</x:f>
      </x:c>
      <x:c r="C107" s="162" t="str">
        <x:f>IF(A107="","",IF(A107&gt;$F$2,"",IF(A107=$F$2,$H$2,IFERROR(LOOKUP(2,1/(($G$7:$G$106&lt;&gt;"")*($G$7:$G$106&lt;=A107)),$H$7:$H$106),""))))</x:f>
      </x:c>
      <x:c r="D107" s="162" t="str">
        <x:f>IF(C107="","",C107-B107)</x:f>
      </x:c>
      <x:c r="E107" s="163" t="str">
        <x:f>IF(D107="","",IF(D107&gt;=0,"On / Ahead",IF(D107&gt;=-0.05,"Watch","Behind")))</x:f>
      </x:c>
      <x:c r="J107"/>
      <x:c r="K107"/>
      <x:c r="L107"/>
      <x:c r="M107" t="str">
        <x:f>IF(A107="","",TEXT(A107,"mmm d"))</x:f>
      </x:c>
      <x:c r="N107" s="14" t="e">
        <x:f>IF(B107="",NA(),B107)</x:f>
        <x:v>#N/A</x:v>
      </x:c>
      <x:c r="O107" s="14" t="e">
        <x:f>IF(OR(P107="",$B$2="",$F$2="",P107&lt;$B$2,P107&gt;$F$2),NA(),IF(Q107=0,IF($F$2=$B$2,$H$2,MAX(0,MIN(1,$H$2*(3*MAX(0,MIN(1,(P107-$B$2)/($F$2-$B$2)))^2-2*MAX(0,MIN(1,(P107-$B$2)/($F$2-$B$2)))^3)))),MAX(0,MIN(1,T107+(V107-T107)*(3*W107^2-2*W107^3)))))</x:f>
        <x:v>#N/A</x:v>
      </x:c>
      <x:c r="P107" s="189" t="str">
        <x:f>A107</x:f>
      </x:c>
      <x:c r="Q107" t="n">
        <x:f>COUNT($G$7:$G$106)</x:f>
        <x:v>0</x:v>
      </x:c>
      <x:c r="R107" t="str">
        <x:f>IF(OR(P107="",$B$2="",$F$2="",P107&lt;$B$2,P107&gt;$F$2),"",IF(Q107=0,0,IF(P107&lt;$G$7,0,IF(P107&gt;=INDEX($G$7:$G$106,Q107),Q107,MATCH(P107,$G$7:$G$106,1)))))</x:f>
      </x:c>
      <x:c r="S107" t="str">
        <x:f>IF(R107="","",IF(R107=0,$B$2,INDEX($G$7:$G$106,R107)))</x:f>
      </x:c>
      <x:c r="T107" s="14" t="str">
        <x:f>IF(R107="","",IF(R107=0,0,INDEX($H$7:$H$106,R107)))</x:f>
      </x:c>
      <x:c r="U107" t="str">
        <x:f>IF(R107="","",IF(Q107=0,$F$2,IF(R107=0,$G$7,IF(R107&lt;Q107,INDEX($G$7:$G$106,R107+1),$F$2))))</x:f>
      </x:c>
      <x:c r="V107" s="14" t="str">
        <x:f>IF(R107="","",IF(Q107=0,$H$2,IF(R107=0,$H$7,IF(R107&lt;Q107,INDEX($H$7:$H$106,R107+1),$H$2))))</x:f>
      </x:c>
      <x:c r="W107" s="188" t="str">
        <x:f>IF(R107="","",IF(U107=S107,1,MAX(0,MIN(1,(P107-S107)/(U107-S107)))))</x:f>
      </x:c>
    </x:row>
    <x:row r="108">
      <x:c r="A108" s="159" t="str">
        <x:f>IF(OR(A107="",A107&gt;=$D$2),"",A107+1)</x:f>
      </x:c>
      <x:c r="B108" s="162" t="str">
        <x:f>IF(A108="","",IFERROR(SUMPRODUCT(--('Project Plan'!$A$7:$A$206&lt;&gt;""),('Project Plan'!$P$7:$P$206+('Project Plan'!$P$7:$P$206="")),--('Project Plan'!$F$7:$F$206&lt;&gt;""),--('Project Plan'!$G$7:$G$206&lt;&gt;""),((A108&gt;='Project Plan'!$G$7:$G$206)+((A108&gt;='Project Plan'!$F$7:$F$206)*(A108&lt;'Project Plan'!$G$7:$G$206)*(A108-'Project Plan'!$F$7:$F$206+1)/('Project Plan'!$G$7:$G$206-'Project Plan'!$F$7:$F$206+1))))/SUMPRODUCT(--('Project Plan'!$A$7:$A$206&lt;&gt;""),('Project Plan'!$P$7:$P$206+('Project Plan'!$P$7:$P$206=""))),0))</x:f>
      </x:c>
      <x:c r="C108" s="162" t="str">
        <x:f>IF(A108="","",IF(A108&gt;$F$2,"",IF(A108=$F$2,$H$2,IFERROR(LOOKUP(2,1/(($G$7:$G$106&lt;&gt;"")*($G$7:$G$106&lt;=A108)),$H$7:$H$106),""))))</x:f>
      </x:c>
      <x:c r="D108" s="162" t="str">
        <x:f>IF(C108="","",C108-B108)</x:f>
      </x:c>
      <x:c r="E108" s="163" t="str">
        <x:f>IF(D108="","",IF(D108&gt;=0,"On / Ahead",IF(D108&gt;=-0.05,"Watch","Behind")))</x:f>
      </x:c>
      <x:c r="J108"/>
      <x:c r="K108"/>
      <x:c r="L108"/>
      <x:c r="M108" t="str">
        <x:f>IF(A108="","",TEXT(A108,"mmm d"))</x:f>
      </x:c>
      <x:c r="N108" s="14" t="e">
        <x:f>IF(B108="",NA(),B108)</x:f>
        <x:v>#N/A</x:v>
      </x:c>
      <x:c r="O108" s="14" t="e">
        <x:f>IF(OR(P108="",$B$2="",$F$2="",P108&lt;$B$2,P108&gt;$F$2),NA(),IF(Q108=0,IF($F$2=$B$2,$H$2,MAX(0,MIN(1,$H$2*(3*MAX(0,MIN(1,(P108-$B$2)/($F$2-$B$2)))^2-2*MAX(0,MIN(1,(P108-$B$2)/($F$2-$B$2)))^3)))),MAX(0,MIN(1,T108+(V108-T108)*(3*W108^2-2*W108^3)))))</x:f>
        <x:v>#N/A</x:v>
      </x:c>
      <x:c r="P108" s="189" t="str">
        <x:f>A108</x:f>
      </x:c>
      <x:c r="Q108" t="n">
        <x:f>COUNT($G$7:$G$106)</x:f>
        <x:v>0</x:v>
      </x:c>
      <x:c r="R108" t="str">
        <x:f>IF(OR(P108="",$B$2="",$F$2="",P108&lt;$B$2,P108&gt;$F$2),"",IF(Q108=0,0,IF(P108&lt;$G$7,0,IF(P108&gt;=INDEX($G$7:$G$106,Q108),Q108,MATCH(P108,$G$7:$G$106,1)))))</x:f>
      </x:c>
      <x:c r="S108" t="str">
        <x:f>IF(R108="","",IF(R108=0,$B$2,INDEX($G$7:$G$106,R108)))</x:f>
      </x:c>
      <x:c r="T108" s="14" t="str">
        <x:f>IF(R108="","",IF(R108=0,0,INDEX($H$7:$H$106,R108)))</x:f>
      </x:c>
      <x:c r="U108" t="str">
        <x:f>IF(R108="","",IF(Q108=0,$F$2,IF(R108=0,$G$7,IF(R108&lt;Q108,INDEX($G$7:$G$106,R108+1),$F$2))))</x:f>
      </x:c>
      <x:c r="V108" s="14" t="str">
        <x:f>IF(R108="","",IF(Q108=0,$H$2,IF(R108=0,$H$7,IF(R108&lt;Q108,INDEX($H$7:$H$106,R108+1),$H$2))))</x:f>
      </x:c>
      <x:c r="W108" s="188" t="str">
        <x:f>IF(R108="","",IF(U108=S108,1,MAX(0,MIN(1,(P108-S108)/(U108-S108)))))</x:f>
      </x:c>
    </x:row>
    <x:row r="109">
      <x:c r="A109" s="159" t="str">
        <x:f>IF(OR(A108="",A108&gt;=$D$2),"",A108+1)</x:f>
      </x:c>
      <x:c r="B109" s="162" t="str">
        <x:f>IF(A109="","",IFERROR(SUMPRODUCT(--('Project Plan'!$A$7:$A$206&lt;&gt;""),('Project Plan'!$P$7:$P$206+('Project Plan'!$P$7:$P$206="")),--('Project Plan'!$F$7:$F$206&lt;&gt;""),--('Project Plan'!$G$7:$G$206&lt;&gt;""),((A109&gt;='Project Plan'!$G$7:$G$206)+((A109&gt;='Project Plan'!$F$7:$F$206)*(A109&lt;'Project Plan'!$G$7:$G$206)*(A109-'Project Plan'!$F$7:$F$206+1)/('Project Plan'!$G$7:$G$206-'Project Plan'!$F$7:$F$206+1))))/SUMPRODUCT(--('Project Plan'!$A$7:$A$206&lt;&gt;""),('Project Plan'!$P$7:$P$206+('Project Plan'!$P$7:$P$206=""))),0))</x:f>
      </x:c>
      <x:c r="C109" s="162" t="str">
        <x:f>IF(A109="","",IF(A109&gt;$F$2,"",IF(A109=$F$2,$H$2,IFERROR(LOOKUP(2,1/(($G$7:$G$106&lt;&gt;"")*($G$7:$G$106&lt;=A109)),$H$7:$H$106),""))))</x:f>
      </x:c>
      <x:c r="D109" s="162" t="str">
        <x:f>IF(C109="","",C109-B109)</x:f>
      </x:c>
      <x:c r="E109" s="163" t="str">
        <x:f>IF(D109="","",IF(D109&gt;=0,"On / Ahead",IF(D109&gt;=-0.05,"Watch","Behind")))</x:f>
      </x:c>
      <x:c r="J109"/>
      <x:c r="K109"/>
      <x:c r="L109"/>
      <x:c r="M109" t="str">
        <x:f>IF(A109="","",TEXT(A109,"mmm d"))</x:f>
      </x:c>
      <x:c r="N109" s="14" t="e">
        <x:f>IF(B109="",NA(),B109)</x:f>
        <x:v>#N/A</x:v>
      </x:c>
      <x:c r="O109" s="14" t="e">
        <x:f>IF(OR(P109="",$B$2="",$F$2="",P109&lt;$B$2,P109&gt;$F$2),NA(),IF(Q109=0,IF($F$2=$B$2,$H$2,MAX(0,MIN(1,$H$2*(3*MAX(0,MIN(1,(P109-$B$2)/($F$2-$B$2)))^2-2*MAX(0,MIN(1,(P109-$B$2)/($F$2-$B$2)))^3)))),MAX(0,MIN(1,T109+(V109-T109)*(3*W109^2-2*W109^3)))))</x:f>
        <x:v>#N/A</x:v>
      </x:c>
      <x:c r="P109" s="189" t="str">
        <x:f>A109</x:f>
      </x:c>
      <x:c r="Q109" t="n">
        <x:f>COUNT($G$7:$G$106)</x:f>
        <x:v>0</x:v>
      </x:c>
      <x:c r="R109" t="str">
        <x:f>IF(OR(P109="",$B$2="",$F$2="",P109&lt;$B$2,P109&gt;$F$2),"",IF(Q109=0,0,IF(P109&lt;$G$7,0,IF(P109&gt;=INDEX($G$7:$G$106,Q109),Q109,MATCH(P109,$G$7:$G$106,1)))))</x:f>
      </x:c>
      <x:c r="S109" t="str">
        <x:f>IF(R109="","",IF(R109=0,$B$2,INDEX($G$7:$G$106,R109)))</x:f>
      </x:c>
      <x:c r="T109" s="14" t="str">
        <x:f>IF(R109="","",IF(R109=0,0,INDEX($H$7:$H$106,R109)))</x:f>
      </x:c>
      <x:c r="U109" t="str">
        <x:f>IF(R109="","",IF(Q109=0,$F$2,IF(R109=0,$G$7,IF(R109&lt;Q109,INDEX($G$7:$G$106,R109+1),$F$2))))</x:f>
      </x:c>
      <x:c r="V109" s="14" t="str">
        <x:f>IF(R109="","",IF(Q109=0,$H$2,IF(R109=0,$H$7,IF(R109&lt;Q109,INDEX($H$7:$H$106,R109+1),$H$2))))</x:f>
      </x:c>
      <x:c r="W109" s="188" t="str">
        <x:f>IF(R109="","",IF(U109=S109,1,MAX(0,MIN(1,(P109-S109)/(U109-S109)))))</x:f>
      </x:c>
    </x:row>
    <x:row r="110">
      <x:c r="A110" s="159" t="str">
        <x:f>IF(OR(A109="",A109&gt;=$D$2),"",A109+1)</x:f>
      </x:c>
      <x:c r="B110" s="162" t="str">
        <x:f>IF(A110="","",IFERROR(SUMPRODUCT(--('Project Plan'!$A$7:$A$206&lt;&gt;""),('Project Plan'!$P$7:$P$206+('Project Plan'!$P$7:$P$206="")),--('Project Plan'!$F$7:$F$206&lt;&gt;""),--('Project Plan'!$G$7:$G$206&lt;&gt;""),((A110&gt;='Project Plan'!$G$7:$G$206)+((A110&gt;='Project Plan'!$F$7:$F$206)*(A110&lt;'Project Plan'!$G$7:$G$206)*(A110-'Project Plan'!$F$7:$F$206+1)/('Project Plan'!$G$7:$G$206-'Project Plan'!$F$7:$F$206+1))))/SUMPRODUCT(--('Project Plan'!$A$7:$A$206&lt;&gt;""),('Project Plan'!$P$7:$P$206+('Project Plan'!$P$7:$P$206=""))),0))</x:f>
      </x:c>
      <x:c r="C110" s="162" t="str">
        <x:f>IF(A110="","",IF(A110&gt;$F$2,"",IF(A110=$F$2,$H$2,IFERROR(LOOKUP(2,1/(($G$7:$G$106&lt;&gt;"")*($G$7:$G$106&lt;=A110)),$H$7:$H$106),""))))</x:f>
      </x:c>
      <x:c r="D110" s="162" t="str">
        <x:f>IF(C110="","",C110-B110)</x:f>
      </x:c>
      <x:c r="E110" s="163" t="str">
        <x:f>IF(D110="","",IF(D110&gt;=0,"On / Ahead",IF(D110&gt;=-0.05,"Watch","Behind")))</x:f>
      </x:c>
      <x:c r="J110"/>
      <x:c r="K110"/>
      <x:c r="L110"/>
      <x:c r="M110" t="str">
        <x:f>IF(A110="","",TEXT(A110,"mmm d"))</x:f>
      </x:c>
      <x:c r="N110" s="14" t="e">
        <x:f>IF(B110="",NA(),B110)</x:f>
        <x:v>#N/A</x:v>
      </x:c>
      <x:c r="O110" s="14" t="e">
        <x:f>IF(OR(P110="",$B$2="",$F$2="",P110&lt;$B$2,P110&gt;$F$2),NA(),IF(Q110=0,IF($F$2=$B$2,$H$2,MAX(0,MIN(1,$H$2*(3*MAX(0,MIN(1,(P110-$B$2)/($F$2-$B$2)))^2-2*MAX(0,MIN(1,(P110-$B$2)/($F$2-$B$2)))^3)))),MAX(0,MIN(1,T110+(V110-T110)*(3*W110^2-2*W110^3)))))</x:f>
        <x:v>#N/A</x:v>
      </x:c>
      <x:c r="P110" s="189" t="str">
        <x:f>A110</x:f>
      </x:c>
      <x:c r="Q110" t="n">
        <x:f>COUNT($G$7:$G$106)</x:f>
        <x:v>0</x:v>
      </x:c>
      <x:c r="R110" t="str">
        <x:f>IF(OR(P110="",$B$2="",$F$2="",P110&lt;$B$2,P110&gt;$F$2),"",IF(Q110=0,0,IF(P110&lt;$G$7,0,IF(P110&gt;=INDEX($G$7:$G$106,Q110),Q110,MATCH(P110,$G$7:$G$106,1)))))</x:f>
      </x:c>
      <x:c r="S110" t="str">
        <x:f>IF(R110="","",IF(R110=0,$B$2,INDEX($G$7:$G$106,R110)))</x:f>
      </x:c>
      <x:c r="T110" s="14" t="str">
        <x:f>IF(R110="","",IF(R110=0,0,INDEX($H$7:$H$106,R110)))</x:f>
      </x:c>
      <x:c r="U110" t="str">
        <x:f>IF(R110="","",IF(Q110=0,$F$2,IF(R110=0,$G$7,IF(R110&lt;Q110,INDEX($G$7:$G$106,R110+1),$F$2))))</x:f>
      </x:c>
      <x:c r="V110" s="14" t="str">
        <x:f>IF(R110="","",IF(Q110=0,$H$2,IF(R110=0,$H$7,IF(R110&lt;Q110,INDEX($H$7:$H$106,R110+1),$H$2))))</x:f>
      </x:c>
      <x:c r="W110" s="188" t="str">
        <x:f>IF(R110="","",IF(U110=S110,1,MAX(0,MIN(1,(P110-S110)/(U110-S110)))))</x:f>
      </x:c>
    </x:row>
    <x:row r="111">
      <x:c r="A111" s="159" t="str">
        <x:f>IF(OR(A110="",A110&gt;=$D$2),"",A110+1)</x:f>
      </x:c>
      <x:c r="B111" s="162" t="str">
        <x:f>IF(A111="","",IFERROR(SUMPRODUCT(--('Project Plan'!$A$7:$A$206&lt;&gt;""),('Project Plan'!$P$7:$P$206+('Project Plan'!$P$7:$P$206="")),--('Project Plan'!$F$7:$F$206&lt;&gt;""),--('Project Plan'!$G$7:$G$206&lt;&gt;""),((A111&gt;='Project Plan'!$G$7:$G$206)+((A111&gt;='Project Plan'!$F$7:$F$206)*(A111&lt;'Project Plan'!$G$7:$G$206)*(A111-'Project Plan'!$F$7:$F$206+1)/('Project Plan'!$G$7:$G$206-'Project Plan'!$F$7:$F$206+1))))/SUMPRODUCT(--('Project Plan'!$A$7:$A$206&lt;&gt;""),('Project Plan'!$P$7:$P$206+('Project Plan'!$P$7:$P$206=""))),0))</x:f>
      </x:c>
      <x:c r="C111" s="162" t="str">
        <x:f>IF(A111="","",IF(A111&gt;$F$2,"",IF(A111=$F$2,$H$2,IFERROR(LOOKUP(2,1/(($G$7:$G$106&lt;&gt;"")*($G$7:$G$106&lt;=A111)),$H$7:$H$106),""))))</x:f>
      </x:c>
      <x:c r="D111" s="162" t="str">
        <x:f>IF(C111="","",C111-B111)</x:f>
      </x:c>
      <x:c r="E111" s="163" t="str">
        <x:f>IF(D111="","",IF(D111&gt;=0,"On / Ahead",IF(D111&gt;=-0.05,"Watch","Behind")))</x:f>
      </x:c>
      <x:c r="J111"/>
      <x:c r="K111"/>
      <x:c r="L111"/>
      <x:c r="M111" t="str">
        <x:f>IF(A111="","",TEXT(A111,"mmm d"))</x:f>
      </x:c>
      <x:c r="N111" s="14" t="e">
        <x:f>IF(B111="",NA(),B111)</x:f>
        <x:v>#N/A</x:v>
      </x:c>
      <x:c r="O111" s="14" t="e">
        <x:f>IF(OR(P111="",$B$2="",$F$2="",P111&lt;$B$2,P111&gt;$F$2),NA(),IF(Q111=0,IF($F$2=$B$2,$H$2,MAX(0,MIN(1,$H$2*(3*MAX(0,MIN(1,(P111-$B$2)/($F$2-$B$2)))^2-2*MAX(0,MIN(1,(P111-$B$2)/($F$2-$B$2)))^3)))),MAX(0,MIN(1,T111+(V111-T111)*(3*W111^2-2*W111^3)))))</x:f>
        <x:v>#N/A</x:v>
      </x:c>
      <x:c r="P111" s="189" t="str">
        <x:f>A111</x:f>
      </x:c>
      <x:c r="Q111" t="n">
        <x:f>COUNT($G$7:$G$106)</x:f>
        <x:v>0</x:v>
      </x:c>
      <x:c r="R111" t="str">
        <x:f>IF(OR(P111="",$B$2="",$F$2="",P111&lt;$B$2,P111&gt;$F$2),"",IF(Q111=0,0,IF(P111&lt;$G$7,0,IF(P111&gt;=INDEX($G$7:$G$106,Q111),Q111,MATCH(P111,$G$7:$G$106,1)))))</x:f>
      </x:c>
      <x:c r="S111" t="str">
        <x:f>IF(R111="","",IF(R111=0,$B$2,INDEX($G$7:$G$106,R111)))</x:f>
      </x:c>
      <x:c r="T111" s="14" t="str">
        <x:f>IF(R111="","",IF(R111=0,0,INDEX($H$7:$H$106,R111)))</x:f>
      </x:c>
      <x:c r="U111" t="str">
        <x:f>IF(R111="","",IF(Q111=0,$F$2,IF(R111=0,$G$7,IF(R111&lt;Q111,INDEX($G$7:$G$106,R111+1),$F$2))))</x:f>
      </x:c>
      <x:c r="V111" s="14" t="str">
        <x:f>IF(R111="","",IF(Q111=0,$H$2,IF(R111=0,$H$7,IF(R111&lt;Q111,INDEX($H$7:$H$106,R111+1),$H$2))))</x:f>
      </x:c>
      <x:c r="W111" s="188" t="str">
        <x:f>IF(R111="","",IF(U111=S111,1,MAX(0,MIN(1,(P111-S111)/(U111-S111)))))</x:f>
      </x:c>
    </x:row>
    <x:row r="112">
      <x:c r="A112" s="159" t="str">
        <x:f>IF(OR(A111="",A111&gt;=$D$2),"",A111+1)</x:f>
      </x:c>
      <x:c r="B112" s="162" t="str">
        <x:f>IF(A112="","",IFERROR(SUMPRODUCT(--('Project Plan'!$A$7:$A$206&lt;&gt;""),('Project Plan'!$P$7:$P$206+('Project Plan'!$P$7:$P$206="")),--('Project Plan'!$F$7:$F$206&lt;&gt;""),--('Project Plan'!$G$7:$G$206&lt;&gt;""),((A112&gt;='Project Plan'!$G$7:$G$206)+((A112&gt;='Project Plan'!$F$7:$F$206)*(A112&lt;'Project Plan'!$G$7:$G$206)*(A112-'Project Plan'!$F$7:$F$206+1)/('Project Plan'!$G$7:$G$206-'Project Plan'!$F$7:$F$206+1))))/SUMPRODUCT(--('Project Plan'!$A$7:$A$206&lt;&gt;""),('Project Plan'!$P$7:$P$206+('Project Plan'!$P$7:$P$206=""))),0))</x:f>
      </x:c>
      <x:c r="C112" s="162" t="str">
        <x:f>IF(A112="","",IF(A112&gt;$F$2,"",IF(A112=$F$2,$H$2,IFERROR(LOOKUP(2,1/(($G$7:$G$106&lt;&gt;"")*($G$7:$G$106&lt;=A112)),$H$7:$H$106),""))))</x:f>
      </x:c>
      <x:c r="D112" s="162" t="str">
        <x:f>IF(C112="","",C112-B112)</x:f>
      </x:c>
      <x:c r="E112" s="163" t="str">
        <x:f>IF(D112="","",IF(D112&gt;=0,"On / Ahead",IF(D112&gt;=-0.05,"Watch","Behind")))</x:f>
      </x:c>
      <x:c r="J112"/>
      <x:c r="K112"/>
      <x:c r="L112"/>
      <x:c r="M112" t="str">
        <x:f>IF(A112="","",TEXT(A112,"mmm d"))</x:f>
      </x:c>
      <x:c r="N112" s="14" t="e">
        <x:f>IF(B112="",NA(),B112)</x:f>
        <x:v>#N/A</x:v>
      </x:c>
      <x:c r="O112" s="14" t="e">
        <x:f>IF(OR(P112="",$B$2="",$F$2="",P112&lt;$B$2,P112&gt;$F$2),NA(),IF(Q112=0,IF($F$2=$B$2,$H$2,MAX(0,MIN(1,$H$2*(3*MAX(0,MIN(1,(P112-$B$2)/($F$2-$B$2)))^2-2*MAX(0,MIN(1,(P112-$B$2)/($F$2-$B$2)))^3)))),MAX(0,MIN(1,T112+(V112-T112)*(3*W112^2-2*W112^3)))))</x:f>
        <x:v>#N/A</x:v>
      </x:c>
      <x:c r="P112" s="189" t="str">
        <x:f>A112</x:f>
      </x:c>
      <x:c r="Q112" t="n">
        <x:f>COUNT($G$7:$G$106)</x:f>
        <x:v>0</x:v>
      </x:c>
      <x:c r="R112" t="str">
        <x:f>IF(OR(P112="",$B$2="",$F$2="",P112&lt;$B$2,P112&gt;$F$2),"",IF(Q112=0,0,IF(P112&lt;$G$7,0,IF(P112&gt;=INDEX($G$7:$G$106,Q112),Q112,MATCH(P112,$G$7:$G$106,1)))))</x:f>
      </x:c>
      <x:c r="S112" t="str">
        <x:f>IF(R112="","",IF(R112=0,$B$2,INDEX($G$7:$G$106,R112)))</x:f>
      </x:c>
      <x:c r="T112" s="14" t="str">
        <x:f>IF(R112="","",IF(R112=0,0,INDEX($H$7:$H$106,R112)))</x:f>
      </x:c>
      <x:c r="U112" t="str">
        <x:f>IF(R112="","",IF(Q112=0,$F$2,IF(R112=0,$G$7,IF(R112&lt;Q112,INDEX($G$7:$G$106,R112+1),$F$2))))</x:f>
      </x:c>
      <x:c r="V112" s="14" t="str">
        <x:f>IF(R112="","",IF(Q112=0,$H$2,IF(R112=0,$H$7,IF(R112&lt;Q112,INDEX($H$7:$H$106,R112+1),$H$2))))</x:f>
      </x:c>
      <x:c r="W112" s="188" t="str">
        <x:f>IF(R112="","",IF(U112=S112,1,MAX(0,MIN(1,(P112-S112)/(U112-S112)))))</x:f>
      </x:c>
    </x:row>
    <x:row r="113">
      <x:c r="A113" s="159" t="str">
        <x:f>IF(OR(A112="",A112&gt;=$D$2),"",A112+1)</x:f>
      </x:c>
      <x:c r="B113" s="162" t="str">
        <x:f>IF(A113="","",IFERROR(SUMPRODUCT(--('Project Plan'!$A$7:$A$206&lt;&gt;""),('Project Plan'!$P$7:$P$206+('Project Plan'!$P$7:$P$206="")),--('Project Plan'!$F$7:$F$206&lt;&gt;""),--('Project Plan'!$G$7:$G$206&lt;&gt;""),((A113&gt;='Project Plan'!$G$7:$G$206)+((A113&gt;='Project Plan'!$F$7:$F$206)*(A113&lt;'Project Plan'!$G$7:$G$206)*(A113-'Project Plan'!$F$7:$F$206+1)/('Project Plan'!$G$7:$G$206-'Project Plan'!$F$7:$F$206+1))))/SUMPRODUCT(--('Project Plan'!$A$7:$A$206&lt;&gt;""),('Project Plan'!$P$7:$P$206+('Project Plan'!$P$7:$P$206=""))),0))</x:f>
      </x:c>
      <x:c r="C113" s="162" t="str">
        <x:f>IF(A113="","",IF(A113&gt;$F$2,"",IF(A113=$F$2,$H$2,IFERROR(LOOKUP(2,1/(($G$7:$G$106&lt;&gt;"")*($G$7:$G$106&lt;=A113)),$H$7:$H$106),""))))</x:f>
      </x:c>
      <x:c r="D113" s="162" t="str">
        <x:f>IF(C113="","",C113-B113)</x:f>
      </x:c>
      <x:c r="E113" s="163" t="str">
        <x:f>IF(D113="","",IF(D113&gt;=0,"On / Ahead",IF(D113&gt;=-0.05,"Watch","Behind")))</x:f>
      </x:c>
      <x:c r="J113"/>
      <x:c r="K113"/>
      <x:c r="L113"/>
      <x:c r="M113" t="str">
        <x:f>IF(A113="","",TEXT(A113,"mmm d"))</x:f>
      </x:c>
      <x:c r="N113" s="14" t="e">
        <x:f>IF(B113="",NA(),B113)</x:f>
        <x:v>#N/A</x:v>
      </x:c>
      <x:c r="O113" s="14" t="e">
        <x:f>IF(OR(P113="",$B$2="",$F$2="",P113&lt;$B$2,P113&gt;$F$2),NA(),IF(Q113=0,IF($F$2=$B$2,$H$2,MAX(0,MIN(1,$H$2*(3*MAX(0,MIN(1,(P113-$B$2)/($F$2-$B$2)))^2-2*MAX(0,MIN(1,(P113-$B$2)/($F$2-$B$2)))^3)))),MAX(0,MIN(1,T113+(V113-T113)*(3*W113^2-2*W113^3)))))</x:f>
        <x:v>#N/A</x:v>
      </x:c>
      <x:c r="P113" s="189" t="str">
        <x:f>A113</x:f>
      </x:c>
      <x:c r="Q113" t="n">
        <x:f>COUNT($G$7:$G$106)</x:f>
        <x:v>0</x:v>
      </x:c>
      <x:c r="R113" t="str">
        <x:f>IF(OR(P113="",$B$2="",$F$2="",P113&lt;$B$2,P113&gt;$F$2),"",IF(Q113=0,0,IF(P113&lt;$G$7,0,IF(P113&gt;=INDEX($G$7:$G$106,Q113),Q113,MATCH(P113,$G$7:$G$106,1)))))</x:f>
      </x:c>
      <x:c r="S113" t="str">
        <x:f>IF(R113="","",IF(R113=0,$B$2,INDEX($G$7:$G$106,R113)))</x:f>
      </x:c>
      <x:c r="T113" s="14" t="str">
        <x:f>IF(R113="","",IF(R113=0,0,INDEX($H$7:$H$106,R113)))</x:f>
      </x:c>
      <x:c r="U113" t="str">
        <x:f>IF(R113="","",IF(Q113=0,$F$2,IF(R113=0,$G$7,IF(R113&lt;Q113,INDEX($G$7:$G$106,R113+1),$F$2))))</x:f>
      </x:c>
      <x:c r="V113" s="14" t="str">
        <x:f>IF(R113="","",IF(Q113=0,$H$2,IF(R113=0,$H$7,IF(R113&lt;Q113,INDEX($H$7:$H$106,R113+1),$H$2))))</x:f>
      </x:c>
      <x:c r="W113" s="188" t="str">
        <x:f>IF(R113="","",IF(U113=S113,1,MAX(0,MIN(1,(P113-S113)/(U113-S113)))))</x:f>
      </x:c>
    </x:row>
    <x:row r="114">
      <x:c r="A114" s="159" t="str">
        <x:f>IF(OR(A113="",A113&gt;=$D$2),"",A113+1)</x:f>
      </x:c>
      <x:c r="B114" s="162" t="str">
        <x:f>IF(A114="","",IFERROR(SUMPRODUCT(--('Project Plan'!$A$7:$A$206&lt;&gt;""),('Project Plan'!$P$7:$P$206+('Project Plan'!$P$7:$P$206="")),--('Project Plan'!$F$7:$F$206&lt;&gt;""),--('Project Plan'!$G$7:$G$206&lt;&gt;""),((A114&gt;='Project Plan'!$G$7:$G$206)+((A114&gt;='Project Plan'!$F$7:$F$206)*(A114&lt;'Project Plan'!$G$7:$G$206)*(A114-'Project Plan'!$F$7:$F$206+1)/('Project Plan'!$G$7:$G$206-'Project Plan'!$F$7:$F$206+1))))/SUMPRODUCT(--('Project Plan'!$A$7:$A$206&lt;&gt;""),('Project Plan'!$P$7:$P$206+('Project Plan'!$P$7:$P$206=""))),0))</x:f>
      </x:c>
      <x:c r="C114" s="162" t="str">
        <x:f>IF(A114="","",IF(A114&gt;$F$2,"",IF(A114=$F$2,$H$2,IFERROR(LOOKUP(2,1/(($G$7:$G$106&lt;&gt;"")*($G$7:$G$106&lt;=A114)),$H$7:$H$106),""))))</x:f>
      </x:c>
      <x:c r="D114" s="162" t="str">
        <x:f>IF(C114="","",C114-B114)</x:f>
      </x:c>
      <x:c r="E114" s="163" t="str">
        <x:f>IF(D114="","",IF(D114&gt;=0,"On / Ahead",IF(D114&gt;=-0.05,"Watch","Behind")))</x:f>
      </x:c>
      <x:c r="J114"/>
      <x:c r="K114"/>
      <x:c r="L114"/>
      <x:c r="M114" t="str">
        <x:f>IF(A114="","",TEXT(A114,"mmm d"))</x:f>
      </x:c>
      <x:c r="N114" s="14" t="e">
        <x:f>IF(B114="",NA(),B114)</x:f>
        <x:v>#N/A</x:v>
      </x:c>
      <x:c r="O114" s="14" t="e">
        <x:f>IF(OR(P114="",$B$2="",$F$2="",P114&lt;$B$2,P114&gt;$F$2),NA(),IF(Q114=0,IF($F$2=$B$2,$H$2,MAX(0,MIN(1,$H$2*(3*MAX(0,MIN(1,(P114-$B$2)/($F$2-$B$2)))^2-2*MAX(0,MIN(1,(P114-$B$2)/($F$2-$B$2)))^3)))),MAX(0,MIN(1,T114+(V114-T114)*(3*W114^2-2*W114^3)))))</x:f>
        <x:v>#N/A</x:v>
      </x:c>
      <x:c r="P114" s="189" t="str">
        <x:f>A114</x:f>
      </x:c>
      <x:c r="Q114" t="n">
        <x:f>COUNT($G$7:$G$106)</x:f>
        <x:v>0</x:v>
      </x:c>
      <x:c r="R114" t="str">
        <x:f>IF(OR(P114="",$B$2="",$F$2="",P114&lt;$B$2,P114&gt;$F$2),"",IF(Q114=0,0,IF(P114&lt;$G$7,0,IF(P114&gt;=INDEX($G$7:$G$106,Q114),Q114,MATCH(P114,$G$7:$G$106,1)))))</x:f>
      </x:c>
      <x:c r="S114" t="str">
        <x:f>IF(R114="","",IF(R114=0,$B$2,INDEX($G$7:$G$106,R114)))</x:f>
      </x:c>
      <x:c r="T114" s="14" t="str">
        <x:f>IF(R114="","",IF(R114=0,0,INDEX($H$7:$H$106,R114)))</x:f>
      </x:c>
      <x:c r="U114" t="str">
        <x:f>IF(R114="","",IF(Q114=0,$F$2,IF(R114=0,$G$7,IF(R114&lt;Q114,INDEX($G$7:$G$106,R114+1),$F$2))))</x:f>
      </x:c>
      <x:c r="V114" s="14" t="str">
        <x:f>IF(R114="","",IF(Q114=0,$H$2,IF(R114=0,$H$7,IF(R114&lt;Q114,INDEX($H$7:$H$106,R114+1),$H$2))))</x:f>
      </x:c>
      <x:c r="W114" s="188" t="str">
        <x:f>IF(R114="","",IF(U114=S114,1,MAX(0,MIN(1,(P114-S114)/(U114-S114)))))</x:f>
      </x:c>
    </x:row>
    <x:row r="115">
      <x:c r="A115" s="159" t="str">
        <x:f>IF(OR(A114="",A114&gt;=$D$2),"",A114+1)</x:f>
      </x:c>
      <x:c r="B115" s="162" t="str">
        <x:f>IF(A115="","",IFERROR(SUMPRODUCT(--('Project Plan'!$A$7:$A$206&lt;&gt;""),('Project Plan'!$P$7:$P$206+('Project Plan'!$P$7:$P$206="")),--('Project Plan'!$F$7:$F$206&lt;&gt;""),--('Project Plan'!$G$7:$G$206&lt;&gt;""),((A115&gt;='Project Plan'!$G$7:$G$206)+((A115&gt;='Project Plan'!$F$7:$F$206)*(A115&lt;'Project Plan'!$G$7:$G$206)*(A115-'Project Plan'!$F$7:$F$206+1)/('Project Plan'!$G$7:$G$206-'Project Plan'!$F$7:$F$206+1))))/SUMPRODUCT(--('Project Plan'!$A$7:$A$206&lt;&gt;""),('Project Plan'!$P$7:$P$206+('Project Plan'!$P$7:$P$206=""))),0))</x:f>
      </x:c>
      <x:c r="C115" s="162" t="str">
        <x:f>IF(A115="","",IF(A115&gt;$F$2,"",IF(A115=$F$2,$H$2,IFERROR(LOOKUP(2,1/(($G$7:$G$106&lt;&gt;"")*($G$7:$G$106&lt;=A115)),$H$7:$H$106),""))))</x:f>
      </x:c>
      <x:c r="D115" s="162" t="str">
        <x:f>IF(C115="","",C115-B115)</x:f>
      </x:c>
      <x:c r="E115" s="163" t="str">
        <x:f>IF(D115="","",IF(D115&gt;=0,"On / Ahead",IF(D115&gt;=-0.05,"Watch","Behind")))</x:f>
      </x:c>
      <x:c r="J115"/>
      <x:c r="K115"/>
      <x:c r="L115"/>
      <x:c r="M115" t="str">
        <x:f>IF(A115="","",TEXT(A115,"mmm d"))</x:f>
      </x:c>
      <x:c r="N115" s="14" t="e">
        <x:f>IF(B115="",NA(),B115)</x:f>
        <x:v>#N/A</x:v>
      </x:c>
      <x:c r="O115" s="14" t="e">
        <x:f>IF(OR(P115="",$B$2="",$F$2="",P115&lt;$B$2,P115&gt;$F$2),NA(),IF(Q115=0,IF($F$2=$B$2,$H$2,MAX(0,MIN(1,$H$2*(3*MAX(0,MIN(1,(P115-$B$2)/($F$2-$B$2)))^2-2*MAX(0,MIN(1,(P115-$B$2)/($F$2-$B$2)))^3)))),MAX(0,MIN(1,T115+(V115-T115)*(3*W115^2-2*W115^3)))))</x:f>
        <x:v>#N/A</x:v>
      </x:c>
      <x:c r="P115" s="189" t="str">
        <x:f>A115</x:f>
      </x:c>
      <x:c r="Q115" t="n">
        <x:f>COUNT($G$7:$G$106)</x:f>
        <x:v>0</x:v>
      </x:c>
      <x:c r="R115" t="str">
        <x:f>IF(OR(P115="",$B$2="",$F$2="",P115&lt;$B$2,P115&gt;$F$2),"",IF(Q115=0,0,IF(P115&lt;$G$7,0,IF(P115&gt;=INDEX($G$7:$G$106,Q115),Q115,MATCH(P115,$G$7:$G$106,1)))))</x:f>
      </x:c>
      <x:c r="S115" t="str">
        <x:f>IF(R115="","",IF(R115=0,$B$2,INDEX($G$7:$G$106,R115)))</x:f>
      </x:c>
      <x:c r="T115" s="14" t="str">
        <x:f>IF(R115="","",IF(R115=0,0,INDEX($H$7:$H$106,R115)))</x:f>
      </x:c>
      <x:c r="U115" t="str">
        <x:f>IF(R115="","",IF(Q115=0,$F$2,IF(R115=0,$G$7,IF(R115&lt;Q115,INDEX($G$7:$G$106,R115+1),$F$2))))</x:f>
      </x:c>
      <x:c r="V115" s="14" t="str">
        <x:f>IF(R115="","",IF(Q115=0,$H$2,IF(R115=0,$H$7,IF(R115&lt;Q115,INDEX($H$7:$H$106,R115+1),$H$2))))</x:f>
      </x:c>
      <x:c r="W115" s="188" t="str">
        <x:f>IF(R115="","",IF(U115=S115,1,MAX(0,MIN(1,(P115-S115)/(U115-S115)))))</x:f>
      </x:c>
    </x:row>
    <x:row r="116">
      <x:c r="A116" s="159" t="str">
        <x:f>IF(OR(A115="",A115&gt;=$D$2),"",A115+1)</x:f>
      </x:c>
      <x:c r="B116" s="162" t="str">
        <x:f>IF(A116="","",IFERROR(SUMPRODUCT(--('Project Plan'!$A$7:$A$206&lt;&gt;""),('Project Plan'!$P$7:$P$206+('Project Plan'!$P$7:$P$206="")),--('Project Plan'!$F$7:$F$206&lt;&gt;""),--('Project Plan'!$G$7:$G$206&lt;&gt;""),((A116&gt;='Project Plan'!$G$7:$G$206)+((A116&gt;='Project Plan'!$F$7:$F$206)*(A116&lt;'Project Plan'!$G$7:$G$206)*(A116-'Project Plan'!$F$7:$F$206+1)/('Project Plan'!$G$7:$G$206-'Project Plan'!$F$7:$F$206+1))))/SUMPRODUCT(--('Project Plan'!$A$7:$A$206&lt;&gt;""),('Project Plan'!$P$7:$P$206+('Project Plan'!$P$7:$P$206=""))),0))</x:f>
      </x:c>
      <x:c r="C116" s="162" t="str">
        <x:f>IF(A116="","",IF(A116&gt;$F$2,"",IF(A116=$F$2,$H$2,IFERROR(LOOKUP(2,1/(($G$7:$G$106&lt;&gt;"")*($G$7:$G$106&lt;=A116)),$H$7:$H$106),""))))</x:f>
      </x:c>
      <x:c r="D116" s="162" t="str">
        <x:f>IF(C116="","",C116-B116)</x:f>
      </x:c>
      <x:c r="E116" s="163" t="str">
        <x:f>IF(D116="","",IF(D116&gt;=0,"On / Ahead",IF(D116&gt;=-0.05,"Watch","Behind")))</x:f>
      </x:c>
      <x:c r="J116"/>
      <x:c r="K116"/>
      <x:c r="L116"/>
      <x:c r="M116" t="str">
        <x:f>IF(A116="","",TEXT(A116,"mmm d"))</x:f>
      </x:c>
      <x:c r="N116" s="14" t="e">
        <x:f>IF(B116="",NA(),B116)</x:f>
        <x:v>#N/A</x:v>
      </x:c>
      <x:c r="O116" s="14" t="e">
        <x:f>IF(OR(P116="",$B$2="",$F$2="",P116&lt;$B$2,P116&gt;$F$2),NA(),IF(Q116=0,IF($F$2=$B$2,$H$2,MAX(0,MIN(1,$H$2*(3*MAX(0,MIN(1,(P116-$B$2)/($F$2-$B$2)))^2-2*MAX(0,MIN(1,(P116-$B$2)/($F$2-$B$2)))^3)))),MAX(0,MIN(1,T116+(V116-T116)*(3*W116^2-2*W116^3)))))</x:f>
        <x:v>#N/A</x:v>
      </x:c>
      <x:c r="P116" s="189" t="str">
        <x:f>A116</x:f>
      </x:c>
      <x:c r="Q116" t="n">
        <x:f>COUNT($G$7:$G$106)</x:f>
        <x:v>0</x:v>
      </x:c>
      <x:c r="R116" t="str">
        <x:f>IF(OR(P116="",$B$2="",$F$2="",P116&lt;$B$2,P116&gt;$F$2),"",IF(Q116=0,0,IF(P116&lt;$G$7,0,IF(P116&gt;=INDEX($G$7:$G$106,Q116),Q116,MATCH(P116,$G$7:$G$106,1)))))</x:f>
      </x:c>
      <x:c r="S116" t="str">
        <x:f>IF(R116="","",IF(R116=0,$B$2,INDEX($G$7:$G$106,R116)))</x:f>
      </x:c>
      <x:c r="T116" s="14" t="str">
        <x:f>IF(R116="","",IF(R116=0,0,INDEX($H$7:$H$106,R116)))</x:f>
      </x:c>
      <x:c r="U116" t="str">
        <x:f>IF(R116="","",IF(Q116=0,$F$2,IF(R116=0,$G$7,IF(R116&lt;Q116,INDEX($G$7:$G$106,R116+1),$F$2))))</x:f>
      </x:c>
      <x:c r="V116" s="14" t="str">
        <x:f>IF(R116="","",IF(Q116=0,$H$2,IF(R116=0,$H$7,IF(R116&lt;Q116,INDEX($H$7:$H$106,R116+1),$H$2))))</x:f>
      </x:c>
      <x:c r="W116" s="188" t="str">
        <x:f>IF(R116="","",IF(U116=S116,1,MAX(0,MIN(1,(P116-S116)/(U116-S116)))))</x:f>
      </x:c>
    </x:row>
    <x:row r="117">
      <x:c r="A117" s="159" t="str">
        <x:f>IF(OR(A116="",A116&gt;=$D$2),"",A116+1)</x:f>
      </x:c>
      <x:c r="B117" s="162" t="str">
        <x:f>IF(A117="","",IFERROR(SUMPRODUCT(--('Project Plan'!$A$7:$A$206&lt;&gt;""),('Project Plan'!$P$7:$P$206+('Project Plan'!$P$7:$P$206="")),--('Project Plan'!$F$7:$F$206&lt;&gt;""),--('Project Plan'!$G$7:$G$206&lt;&gt;""),((A117&gt;='Project Plan'!$G$7:$G$206)+((A117&gt;='Project Plan'!$F$7:$F$206)*(A117&lt;'Project Plan'!$G$7:$G$206)*(A117-'Project Plan'!$F$7:$F$206+1)/('Project Plan'!$G$7:$G$206-'Project Plan'!$F$7:$F$206+1))))/SUMPRODUCT(--('Project Plan'!$A$7:$A$206&lt;&gt;""),('Project Plan'!$P$7:$P$206+('Project Plan'!$P$7:$P$206=""))),0))</x:f>
      </x:c>
      <x:c r="C117" s="162" t="str">
        <x:f>IF(A117="","",IF(A117&gt;$F$2,"",IF(A117=$F$2,$H$2,IFERROR(LOOKUP(2,1/(($G$7:$G$106&lt;&gt;"")*($G$7:$G$106&lt;=A117)),$H$7:$H$106),""))))</x:f>
      </x:c>
      <x:c r="D117" s="162" t="str">
        <x:f>IF(C117="","",C117-B117)</x:f>
      </x:c>
      <x:c r="E117" s="163" t="str">
        <x:f>IF(D117="","",IF(D117&gt;=0,"On / Ahead",IF(D117&gt;=-0.05,"Watch","Behind")))</x:f>
      </x:c>
      <x:c r="J117"/>
      <x:c r="K117"/>
      <x:c r="L117"/>
      <x:c r="M117" t="str">
        <x:f>IF(A117="","",TEXT(A117,"mmm d"))</x:f>
      </x:c>
      <x:c r="N117" s="14" t="e">
        <x:f>IF(B117="",NA(),B117)</x:f>
        <x:v>#N/A</x:v>
      </x:c>
      <x:c r="O117" s="14" t="e">
        <x:f>IF(OR(P117="",$B$2="",$F$2="",P117&lt;$B$2,P117&gt;$F$2),NA(),IF(Q117=0,IF($F$2=$B$2,$H$2,MAX(0,MIN(1,$H$2*(3*MAX(0,MIN(1,(P117-$B$2)/($F$2-$B$2)))^2-2*MAX(0,MIN(1,(P117-$B$2)/($F$2-$B$2)))^3)))),MAX(0,MIN(1,T117+(V117-T117)*(3*W117^2-2*W117^3)))))</x:f>
        <x:v>#N/A</x:v>
      </x:c>
      <x:c r="P117" s="189" t="str">
        <x:f>A117</x:f>
      </x:c>
      <x:c r="Q117" t="n">
        <x:f>COUNT($G$7:$G$106)</x:f>
        <x:v>0</x:v>
      </x:c>
      <x:c r="R117" t="str">
        <x:f>IF(OR(P117="",$B$2="",$F$2="",P117&lt;$B$2,P117&gt;$F$2),"",IF(Q117=0,0,IF(P117&lt;$G$7,0,IF(P117&gt;=INDEX($G$7:$G$106,Q117),Q117,MATCH(P117,$G$7:$G$106,1)))))</x:f>
      </x:c>
      <x:c r="S117" t="str">
        <x:f>IF(R117="","",IF(R117=0,$B$2,INDEX($G$7:$G$106,R117)))</x:f>
      </x:c>
      <x:c r="T117" s="14" t="str">
        <x:f>IF(R117="","",IF(R117=0,0,INDEX($H$7:$H$106,R117)))</x:f>
      </x:c>
      <x:c r="U117" t="str">
        <x:f>IF(R117="","",IF(Q117=0,$F$2,IF(R117=0,$G$7,IF(R117&lt;Q117,INDEX($G$7:$G$106,R117+1),$F$2))))</x:f>
      </x:c>
      <x:c r="V117" s="14" t="str">
        <x:f>IF(R117="","",IF(Q117=0,$H$2,IF(R117=0,$H$7,IF(R117&lt;Q117,INDEX($H$7:$H$106,R117+1),$H$2))))</x:f>
      </x:c>
      <x:c r="W117" s="188" t="str">
        <x:f>IF(R117="","",IF(U117=S117,1,MAX(0,MIN(1,(P117-S117)/(U117-S117)))))</x:f>
      </x:c>
    </x:row>
    <x:row r="118">
      <x:c r="A118" s="159" t="str">
        <x:f>IF(OR(A117="",A117&gt;=$D$2),"",A117+1)</x:f>
      </x:c>
      <x:c r="B118" s="162" t="str">
        <x:f>IF(A118="","",IFERROR(SUMPRODUCT(--('Project Plan'!$A$7:$A$206&lt;&gt;""),('Project Plan'!$P$7:$P$206+('Project Plan'!$P$7:$P$206="")),--('Project Plan'!$F$7:$F$206&lt;&gt;""),--('Project Plan'!$G$7:$G$206&lt;&gt;""),((A118&gt;='Project Plan'!$G$7:$G$206)+((A118&gt;='Project Plan'!$F$7:$F$206)*(A118&lt;'Project Plan'!$G$7:$G$206)*(A118-'Project Plan'!$F$7:$F$206+1)/('Project Plan'!$G$7:$G$206-'Project Plan'!$F$7:$F$206+1))))/SUMPRODUCT(--('Project Plan'!$A$7:$A$206&lt;&gt;""),('Project Plan'!$P$7:$P$206+('Project Plan'!$P$7:$P$206=""))),0))</x:f>
      </x:c>
      <x:c r="C118" s="162" t="str">
        <x:f>IF(A118="","",IF(A118&gt;$F$2,"",IF(A118=$F$2,$H$2,IFERROR(LOOKUP(2,1/(($G$7:$G$106&lt;&gt;"")*($G$7:$G$106&lt;=A118)),$H$7:$H$106),""))))</x:f>
      </x:c>
      <x:c r="D118" s="162" t="str">
        <x:f>IF(C118="","",C118-B118)</x:f>
      </x:c>
      <x:c r="E118" s="163" t="str">
        <x:f>IF(D118="","",IF(D118&gt;=0,"On / Ahead",IF(D118&gt;=-0.05,"Watch","Behind")))</x:f>
      </x:c>
      <x:c r="J118"/>
      <x:c r="K118"/>
      <x:c r="L118"/>
      <x:c r="M118" t="str">
        <x:f>IF(A118="","",TEXT(A118,"mmm d"))</x:f>
      </x:c>
      <x:c r="N118" s="14" t="e">
        <x:f>IF(B118="",NA(),B118)</x:f>
        <x:v>#N/A</x:v>
      </x:c>
      <x:c r="O118" s="14" t="e">
        <x:f>IF(OR(P118="",$B$2="",$F$2="",P118&lt;$B$2,P118&gt;$F$2),NA(),IF(Q118=0,IF($F$2=$B$2,$H$2,MAX(0,MIN(1,$H$2*(3*MAX(0,MIN(1,(P118-$B$2)/($F$2-$B$2)))^2-2*MAX(0,MIN(1,(P118-$B$2)/($F$2-$B$2)))^3)))),MAX(0,MIN(1,T118+(V118-T118)*(3*W118^2-2*W118^3)))))</x:f>
        <x:v>#N/A</x:v>
      </x:c>
      <x:c r="P118" s="189" t="str">
        <x:f>A118</x:f>
      </x:c>
      <x:c r="Q118" t="n">
        <x:f>COUNT($G$7:$G$106)</x:f>
        <x:v>0</x:v>
      </x:c>
      <x:c r="R118" t="str">
        <x:f>IF(OR(P118="",$B$2="",$F$2="",P118&lt;$B$2,P118&gt;$F$2),"",IF(Q118=0,0,IF(P118&lt;$G$7,0,IF(P118&gt;=INDEX($G$7:$G$106,Q118),Q118,MATCH(P118,$G$7:$G$106,1)))))</x:f>
      </x:c>
      <x:c r="S118" t="str">
        <x:f>IF(R118="","",IF(R118=0,$B$2,INDEX($G$7:$G$106,R118)))</x:f>
      </x:c>
      <x:c r="T118" s="14" t="str">
        <x:f>IF(R118="","",IF(R118=0,0,INDEX($H$7:$H$106,R118)))</x:f>
      </x:c>
      <x:c r="U118" t="str">
        <x:f>IF(R118="","",IF(Q118=0,$F$2,IF(R118=0,$G$7,IF(R118&lt;Q118,INDEX($G$7:$G$106,R118+1),$F$2))))</x:f>
      </x:c>
      <x:c r="V118" s="14" t="str">
        <x:f>IF(R118="","",IF(Q118=0,$H$2,IF(R118=0,$H$7,IF(R118&lt;Q118,INDEX($H$7:$H$106,R118+1),$H$2))))</x:f>
      </x:c>
      <x:c r="W118" s="188" t="str">
        <x:f>IF(R118="","",IF(U118=S118,1,MAX(0,MIN(1,(P118-S118)/(U118-S118)))))</x:f>
      </x:c>
    </x:row>
    <x:row r="119">
      <x:c r="A119" s="159" t="str">
        <x:f>IF(OR(A118="",A118&gt;=$D$2),"",A118+1)</x:f>
      </x:c>
      <x:c r="B119" s="162" t="str">
        <x:f>IF(A119="","",IFERROR(SUMPRODUCT(--('Project Plan'!$A$7:$A$206&lt;&gt;""),('Project Plan'!$P$7:$P$206+('Project Plan'!$P$7:$P$206="")),--('Project Plan'!$F$7:$F$206&lt;&gt;""),--('Project Plan'!$G$7:$G$206&lt;&gt;""),((A119&gt;='Project Plan'!$G$7:$G$206)+((A119&gt;='Project Plan'!$F$7:$F$206)*(A119&lt;'Project Plan'!$G$7:$G$206)*(A119-'Project Plan'!$F$7:$F$206+1)/('Project Plan'!$G$7:$G$206-'Project Plan'!$F$7:$F$206+1))))/SUMPRODUCT(--('Project Plan'!$A$7:$A$206&lt;&gt;""),('Project Plan'!$P$7:$P$206+('Project Plan'!$P$7:$P$206=""))),0))</x:f>
      </x:c>
      <x:c r="C119" s="162" t="str">
        <x:f>IF(A119="","",IF(A119&gt;$F$2,"",IF(A119=$F$2,$H$2,IFERROR(LOOKUP(2,1/(($G$7:$G$106&lt;&gt;"")*($G$7:$G$106&lt;=A119)),$H$7:$H$106),""))))</x:f>
      </x:c>
      <x:c r="D119" s="162" t="str">
        <x:f>IF(C119="","",C119-B119)</x:f>
      </x:c>
      <x:c r="E119" s="163" t="str">
        <x:f>IF(D119="","",IF(D119&gt;=0,"On / Ahead",IF(D119&gt;=-0.05,"Watch","Behind")))</x:f>
      </x:c>
      <x:c r="J119"/>
      <x:c r="K119"/>
      <x:c r="L119"/>
      <x:c r="M119" t="str">
        <x:f>IF(A119="","",TEXT(A119,"mmm d"))</x:f>
      </x:c>
      <x:c r="N119" s="14" t="e">
        <x:f>IF(B119="",NA(),B119)</x:f>
        <x:v>#N/A</x:v>
      </x:c>
      <x:c r="O119" s="14" t="e">
        <x:f>IF(OR(P119="",$B$2="",$F$2="",P119&lt;$B$2,P119&gt;$F$2),NA(),IF(Q119=0,IF($F$2=$B$2,$H$2,MAX(0,MIN(1,$H$2*(3*MAX(0,MIN(1,(P119-$B$2)/($F$2-$B$2)))^2-2*MAX(0,MIN(1,(P119-$B$2)/($F$2-$B$2)))^3)))),MAX(0,MIN(1,T119+(V119-T119)*(3*W119^2-2*W119^3)))))</x:f>
        <x:v>#N/A</x:v>
      </x:c>
      <x:c r="P119" s="189" t="str">
        <x:f>A119</x:f>
      </x:c>
      <x:c r="Q119" t="n">
        <x:f>COUNT($G$7:$G$106)</x:f>
        <x:v>0</x:v>
      </x:c>
      <x:c r="R119" t="str">
        <x:f>IF(OR(P119="",$B$2="",$F$2="",P119&lt;$B$2,P119&gt;$F$2),"",IF(Q119=0,0,IF(P119&lt;$G$7,0,IF(P119&gt;=INDEX($G$7:$G$106,Q119),Q119,MATCH(P119,$G$7:$G$106,1)))))</x:f>
      </x:c>
      <x:c r="S119" t="str">
        <x:f>IF(R119="","",IF(R119=0,$B$2,INDEX($G$7:$G$106,R119)))</x:f>
      </x:c>
      <x:c r="T119" s="14" t="str">
        <x:f>IF(R119="","",IF(R119=0,0,INDEX($H$7:$H$106,R119)))</x:f>
      </x:c>
      <x:c r="U119" t="str">
        <x:f>IF(R119="","",IF(Q119=0,$F$2,IF(R119=0,$G$7,IF(R119&lt;Q119,INDEX($G$7:$G$106,R119+1),$F$2))))</x:f>
      </x:c>
      <x:c r="V119" s="14" t="str">
        <x:f>IF(R119="","",IF(Q119=0,$H$2,IF(R119=0,$H$7,IF(R119&lt;Q119,INDEX($H$7:$H$106,R119+1),$H$2))))</x:f>
      </x:c>
      <x:c r="W119" s="188" t="str">
        <x:f>IF(R119="","",IF(U119=S119,1,MAX(0,MIN(1,(P119-S119)/(U119-S119)))))</x:f>
      </x:c>
    </x:row>
    <x:row r="120">
      <x:c r="A120" s="159" t="str">
        <x:f>IF(OR(A119="",A119&gt;=$D$2),"",A119+1)</x:f>
      </x:c>
      <x:c r="B120" s="162" t="str">
        <x:f>IF(A120="","",IFERROR(SUMPRODUCT(--('Project Plan'!$A$7:$A$206&lt;&gt;""),('Project Plan'!$P$7:$P$206+('Project Plan'!$P$7:$P$206="")),--('Project Plan'!$F$7:$F$206&lt;&gt;""),--('Project Plan'!$G$7:$G$206&lt;&gt;""),((A120&gt;='Project Plan'!$G$7:$G$206)+((A120&gt;='Project Plan'!$F$7:$F$206)*(A120&lt;'Project Plan'!$G$7:$G$206)*(A120-'Project Plan'!$F$7:$F$206+1)/('Project Plan'!$G$7:$G$206-'Project Plan'!$F$7:$F$206+1))))/SUMPRODUCT(--('Project Plan'!$A$7:$A$206&lt;&gt;""),('Project Plan'!$P$7:$P$206+('Project Plan'!$P$7:$P$206=""))),0))</x:f>
      </x:c>
      <x:c r="C120" s="162" t="str">
        <x:f>IF(A120="","",IF(A120&gt;$F$2,"",IF(A120=$F$2,$H$2,IFERROR(LOOKUP(2,1/(($G$7:$G$106&lt;&gt;"")*($G$7:$G$106&lt;=A120)),$H$7:$H$106),""))))</x:f>
      </x:c>
      <x:c r="D120" s="162" t="str">
        <x:f>IF(C120="","",C120-B120)</x:f>
      </x:c>
      <x:c r="E120" s="163" t="str">
        <x:f>IF(D120="","",IF(D120&gt;=0,"On / Ahead",IF(D120&gt;=-0.05,"Watch","Behind")))</x:f>
      </x:c>
      <x:c r="J120"/>
      <x:c r="K120"/>
      <x:c r="L120"/>
      <x:c r="M120" t="str">
        <x:f>IF(A120="","",TEXT(A120,"mmm d"))</x:f>
      </x:c>
      <x:c r="N120" s="14" t="e">
        <x:f>IF(B120="",NA(),B120)</x:f>
        <x:v>#N/A</x:v>
      </x:c>
      <x:c r="O120" s="14" t="e">
        <x:f>IF(OR(P120="",$B$2="",$F$2="",P120&lt;$B$2,P120&gt;$F$2),NA(),IF(Q120=0,IF($F$2=$B$2,$H$2,MAX(0,MIN(1,$H$2*(3*MAX(0,MIN(1,(P120-$B$2)/($F$2-$B$2)))^2-2*MAX(0,MIN(1,(P120-$B$2)/($F$2-$B$2)))^3)))),MAX(0,MIN(1,T120+(V120-T120)*(3*W120^2-2*W120^3)))))</x:f>
        <x:v>#N/A</x:v>
      </x:c>
      <x:c r="P120" s="189" t="str">
        <x:f>A120</x:f>
      </x:c>
      <x:c r="Q120" t="n">
        <x:f>COUNT($G$7:$G$106)</x:f>
        <x:v>0</x:v>
      </x:c>
      <x:c r="R120" t="str">
        <x:f>IF(OR(P120="",$B$2="",$F$2="",P120&lt;$B$2,P120&gt;$F$2),"",IF(Q120=0,0,IF(P120&lt;$G$7,0,IF(P120&gt;=INDEX($G$7:$G$106,Q120),Q120,MATCH(P120,$G$7:$G$106,1)))))</x:f>
      </x:c>
      <x:c r="S120" t="str">
        <x:f>IF(R120="","",IF(R120=0,$B$2,INDEX($G$7:$G$106,R120)))</x:f>
      </x:c>
      <x:c r="T120" s="14" t="str">
        <x:f>IF(R120="","",IF(R120=0,0,INDEX($H$7:$H$106,R120)))</x:f>
      </x:c>
      <x:c r="U120" t="str">
        <x:f>IF(R120="","",IF(Q120=0,$F$2,IF(R120=0,$G$7,IF(R120&lt;Q120,INDEX($G$7:$G$106,R120+1),$F$2))))</x:f>
      </x:c>
      <x:c r="V120" s="14" t="str">
        <x:f>IF(R120="","",IF(Q120=0,$H$2,IF(R120=0,$H$7,IF(R120&lt;Q120,INDEX($H$7:$H$106,R120+1),$H$2))))</x:f>
      </x:c>
      <x:c r="W120" s="188" t="str">
        <x:f>IF(R120="","",IF(U120=S120,1,MAX(0,MIN(1,(P120-S120)/(U120-S120)))))</x:f>
      </x:c>
    </x:row>
    <x:row r="121">
      <x:c r="A121" s="159" t="str">
        <x:f>IF(OR(A120="",A120&gt;=$D$2),"",A120+1)</x:f>
      </x:c>
      <x:c r="B121" s="162" t="str">
        <x:f>IF(A121="","",IFERROR(SUMPRODUCT(--('Project Plan'!$A$7:$A$206&lt;&gt;""),('Project Plan'!$P$7:$P$206+('Project Plan'!$P$7:$P$206="")),--('Project Plan'!$F$7:$F$206&lt;&gt;""),--('Project Plan'!$G$7:$G$206&lt;&gt;""),((A121&gt;='Project Plan'!$G$7:$G$206)+((A121&gt;='Project Plan'!$F$7:$F$206)*(A121&lt;'Project Plan'!$G$7:$G$206)*(A121-'Project Plan'!$F$7:$F$206+1)/('Project Plan'!$G$7:$G$206-'Project Plan'!$F$7:$F$206+1))))/SUMPRODUCT(--('Project Plan'!$A$7:$A$206&lt;&gt;""),('Project Plan'!$P$7:$P$206+('Project Plan'!$P$7:$P$206=""))),0))</x:f>
      </x:c>
      <x:c r="C121" s="162" t="str">
        <x:f>IF(A121="","",IF(A121&gt;$F$2,"",IF(A121=$F$2,$H$2,IFERROR(LOOKUP(2,1/(($G$7:$G$106&lt;&gt;"")*($G$7:$G$106&lt;=A121)),$H$7:$H$106),""))))</x:f>
      </x:c>
      <x:c r="D121" s="162" t="str">
        <x:f>IF(C121="","",C121-B121)</x:f>
      </x:c>
      <x:c r="E121" s="163" t="str">
        <x:f>IF(D121="","",IF(D121&gt;=0,"On / Ahead",IF(D121&gt;=-0.05,"Watch","Behind")))</x:f>
      </x:c>
      <x:c r="J121"/>
      <x:c r="K121"/>
      <x:c r="L121"/>
      <x:c r="M121" t="str">
        <x:f>IF(A121="","",TEXT(A121,"mmm d"))</x:f>
      </x:c>
      <x:c r="N121" s="14" t="e">
        <x:f>IF(B121="",NA(),B121)</x:f>
        <x:v>#N/A</x:v>
      </x:c>
      <x:c r="O121" s="14" t="e">
        <x:f>IF(OR(P121="",$B$2="",$F$2="",P121&lt;$B$2,P121&gt;$F$2),NA(),IF(Q121=0,IF($F$2=$B$2,$H$2,MAX(0,MIN(1,$H$2*(3*MAX(0,MIN(1,(P121-$B$2)/($F$2-$B$2)))^2-2*MAX(0,MIN(1,(P121-$B$2)/($F$2-$B$2)))^3)))),MAX(0,MIN(1,T121+(V121-T121)*(3*W121^2-2*W121^3)))))</x:f>
        <x:v>#N/A</x:v>
      </x:c>
      <x:c r="P121" s="189" t="str">
        <x:f>A121</x:f>
      </x:c>
      <x:c r="Q121" t="n">
        <x:f>COUNT($G$7:$G$106)</x:f>
        <x:v>0</x:v>
      </x:c>
      <x:c r="R121" t="str">
        <x:f>IF(OR(P121="",$B$2="",$F$2="",P121&lt;$B$2,P121&gt;$F$2),"",IF(Q121=0,0,IF(P121&lt;$G$7,0,IF(P121&gt;=INDEX($G$7:$G$106,Q121),Q121,MATCH(P121,$G$7:$G$106,1)))))</x:f>
      </x:c>
      <x:c r="S121" t="str">
        <x:f>IF(R121="","",IF(R121=0,$B$2,INDEX($G$7:$G$106,R121)))</x:f>
      </x:c>
      <x:c r="T121" s="14" t="str">
        <x:f>IF(R121="","",IF(R121=0,0,INDEX($H$7:$H$106,R121)))</x:f>
      </x:c>
      <x:c r="U121" t="str">
        <x:f>IF(R121="","",IF(Q121=0,$F$2,IF(R121=0,$G$7,IF(R121&lt;Q121,INDEX($G$7:$G$106,R121+1),$F$2))))</x:f>
      </x:c>
      <x:c r="V121" s="14" t="str">
        <x:f>IF(R121="","",IF(Q121=0,$H$2,IF(R121=0,$H$7,IF(R121&lt;Q121,INDEX($H$7:$H$106,R121+1),$H$2))))</x:f>
      </x:c>
      <x:c r="W121" s="188" t="str">
        <x:f>IF(R121="","",IF(U121=S121,1,MAX(0,MIN(1,(P121-S121)/(U121-S121)))))</x:f>
      </x:c>
    </x:row>
    <x:row r="122">
      <x:c r="A122" s="159" t="str">
        <x:f>IF(OR(A121="",A121&gt;=$D$2),"",A121+1)</x:f>
      </x:c>
      <x:c r="B122" s="162" t="str">
        <x:f>IF(A122="","",IFERROR(SUMPRODUCT(--('Project Plan'!$A$7:$A$206&lt;&gt;""),('Project Plan'!$P$7:$P$206+('Project Plan'!$P$7:$P$206="")),--('Project Plan'!$F$7:$F$206&lt;&gt;""),--('Project Plan'!$G$7:$G$206&lt;&gt;""),((A122&gt;='Project Plan'!$G$7:$G$206)+((A122&gt;='Project Plan'!$F$7:$F$206)*(A122&lt;'Project Plan'!$G$7:$G$206)*(A122-'Project Plan'!$F$7:$F$206+1)/('Project Plan'!$G$7:$G$206-'Project Plan'!$F$7:$F$206+1))))/SUMPRODUCT(--('Project Plan'!$A$7:$A$206&lt;&gt;""),('Project Plan'!$P$7:$P$206+('Project Plan'!$P$7:$P$206=""))),0))</x:f>
      </x:c>
      <x:c r="C122" s="162" t="str">
        <x:f>IF(A122="","",IF(A122&gt;$F$2,"",IF(A122=$F$2,$H$2,IFERROR(LOOKUP(2,1/(($G$7:$G$106&lt;&gt;"")*($G$7:$G$106&lt;=A122)),$H$7:$H$106),""))))</x:f>
      </x:c>
      <x:c r="D122" s="162" t="str">
        <x:f>IF(C122="","",C122-B122)</x:f>
      </x:c>
      <x:c r="E122" s="163" t="str">
        <x:f>IF(D122="","",IF(D122&gt;=0,"On / Ahead",IF(D122&gt;=-0.05,"Watch","Behind")))</x:f>
      </x:c>
      <x:c r="J122"/>
      <x:c r="K122"/>
      <x:c r="L122"/>
      <x:c r="M122" t="str">
        <x:f>IF(A122="","",TEXT(A122,"mmm d"))</x:f>
      </x:c>
      <x:c r="N122" s="14" t="e">
        <x:f>IF(B122="",NA(),B122)</x:f>
        <x:v>#N/A</x:v>
      </x:c>
      <x:c r="O122" s="14" t="e">
        <x:f>IF(OR(P122="",$B$2="",$F$2="",P122&lt;$B$2,P122&gt;$F$2),NA(),IF(Q122=0,IF($F$2=$B$2,$H$2,MAX(0,MIN(1,$H$2*(3*MAX(0,MIN(1,(P122-$B$2)/($F$2-$B$2)))^2-2*MAX(0,MIN(1,(P122-$B$2)/($F$2-$B$2)))^3)))),MAX(0,MIN(1,T122+(V122-T122)*(3*W122^2-2*W122^3)))))</x:f>
        <x:v>#N/A</x:v>
      </x:c>
      <x:c r="P122" s="189" t="str">
        <x:f>A122</x:f>
      </x:c>
      <x:c r="Q122" t="n">
        <x:f>COUNT($G$7:$G$106)</x:f>
        <x:v>0</x:v>
      </x:c>
      <x:c r="R122" t="str">
        <x:f>IF(OR(P122="",$B$2="",$F$2="",P122&lt;$B$2,P122&gt;$F$2),"",IF(Q122=0,0,IF(P122&lt;$G$7,0,IF(P122&gt;=INDEX($G$7:$G$106,Q122),Q122,MATCH(P122,$G$7:$G$106,1)))))</x:f>
      </x:c>
      <x:c r="S122" t="str">
        <x:f>IF(R122="","",IF(R122=0,$B$2,INDEX($G$7:$G$106,R122)))</x:f>
      </x:c>
      <x:c r="T122" s="14" t="str">
        <x:f>IF(R122="","",IF(R122=0,0,INDEX($H$7:$H$106,R122)))</x:f>
      </x:c>
      <x:c r="U122" t="str">
        <x:f>IF(R122="","",IF(Q122=0,$F$2,IF(R122=0,$G$7,IF(R122&lt;Q122,INDEX($G$7:$G$106,R122+1),$F$2))))</x:f>
      </x:c>
      <x:c r="V122" s="14" t="str">
        <x:f>IF(R122="","",IF(Q122=0,$H$2,IF(R122=0,$H$7,IF(R122&lt;Q122,INDEX($H$7:$H$106,R122+1),$H$2))))</x:f>
      </x:c>
      <x:c r="W122" s="188" t="str">
        <x:f>IF(R122="","",IF(U122=S122,1,MAX(0,MIN(1,(P122-S122)/(U122-S122)))))</x:f>
      </x:c>
    </x:row>
    <x:row r="123">
      <x:c r="A123" s="159" t="str">
        <x:f>IF(OR(A122="",A122&gt;=$D$2),"",A122+1)</x:f>
      </x:c>
      <x:c r="B123" s="162" t="str">
        <x:f>IF(A123="","",IFERROR(SUMPRODUCT(--('Project Plan'!$A$7:$A$206&lt;&gt;""),('Project Plan'!$P$7:$P$206+('Project Plan'!$P$7:$P$206="")),--('Project Plan'!$F$7:$F$206&lt;&gt;""),--('Project Plan'!$G$7:$G$206&lt;&gt;""),((A123&gt;='Project Plan'!$G$7:$G$206)+((A123&gt;='Project Plan'!$F$7:$F$206)*(A123&lt;'Project Plan'!$G$7:$G$206)*(A123-'Project Plan'!$F$7:$F$206+1)/('Project Plan'!$G$7:$G$206-'Project Plan'!$F$7:$F$206+1))))/SUMPRODUCT(--('Project Plan'!$A$7:$A$206&lt;&gt;""),('Project Plan'!$P$7:$P$206+('Project Plan'!$P$7:$P$206=""))),0))</x:f>
      </x:c>
      <x:c r="C123" s="162" t="str">
        <x:f>IF(A123="","",IF(A123&gt;$F$2,"",IF(A123=$F$2,$H$2,IFERROR(LOOKUP(2,1/(($G$7:$G$106&lt;&gt;"")*($G$7:$G$106&lt;=A123)),$H$7:$H$106),""))))</x:f>
      </x:c>
      <x:c r="D123" s="162" t="str">
        <x:f>IF(C123="","",C123-B123)</x:f>
      </x:c>
      <x:c r="E123" s="163" t="str">
        <x:f>IF(D123="","",IF(D123&gt;=0,"On / Ahead",IF(D123&gt;=-0.05,"Watch","Behind")))</x:f>
      </x:c>
      <x:c r="J123"/>
      <x:c r="K123"/>
      <x:c r="L123"/>
      <x:c r="M123" t="str">
        <x:f>IF(A123="","",TEXT(A123,"mmm d"))</x:f>
      </x:c>
      <x:c r="N123" s="14" t="e">
        <x:f>IF(B123="",NA(),B123)</x:f>
        <x:v>#N/A</x:v>
      </x:c>
      <x:c r="O123" s="14" t="e">
        <x:f>IF(OR(P123="",$B$2="",$F$2="",P123&lt;$B$2,P123&gt;$F$2),NA(),IF(Q123=0,IF($F$2=$B$2,$H$2,MAX(0,MIN(1,$H$2*(3*MAX(0,MIN(1,(P123-$B$2)/($F$2-$B$2)))^2-2*MAX(0,MIN(1,(P123-$B$2)/($F$2-$B$2)))^3)))),MAX(0,MIN(1,T123+(V123-T123)*(3*W123^2-2*W123^3)))))</x:f>
        <x:v>#N/A</x:v>
      </x:c>
      <x:c r="P123" s="189" t="str">
        <x:f>A123</x:f>
      </x:c>
      <x:c r="Q123" t="n">
        <x:f>COUNT($G$7:$G$106)</x:f>
        <x:v>0</x:v>
      </x:c>
      <x:c r="R123" t="str">
        <x:f>IF(OR(P123="",$B$2="",$F$2="",P123&lt;$B$2,P123&gt;$F$2),"",IF(Q123=0,0,IF(P123&lt;$G$7,0,IF(P123&gt;=INDEX($G$7:$G$106,Q123),Q123,MATCH(P123,$G$7:$G$106,1)))))</x:f>
      </x:c>
      <x:c r="S123" t="str">
        <x:f>IF(R123="","",IF(R123=0,$B$2,INDEX($G$7:$G$106,R123)))</x:f>
      </x:c>
      <x:c r="T123" s="14" t="str">
        <x:f>IF(R123="","",IF(R123=0,0,INDEX($H$7:$H$106,R123)))</x:f>
      </x:c>
      <x:c r="U123" t="str">
        <x:f>IF(R123="","",IF(Q123=0,$F$2,IF(R123=0,$G$7,IF(R123&lt;Q123,INDEX($G$7:$G$106,R123+1),$F$2))))</x:f>
      </x:c>
      <x:c r="V123" s="14" t="str">
        <x:f>IF(R123="","",IF(Q123=0,$H$2,IF(R123=0,$H$7,IF(R123&lt;Q123,INDEX($H$7:$H$106,R123+1),$H$2))))</x:f>
      </x:c>
      <x:c r="W123" s="188" t="str">
        <x:f>IF(R123="","",IF(U123=S123,1,MAX(0,MIN(1,(P123-S123)/(U123-S123)))))</x:f>
      </x:c>
    </x:row>
    <x:row r="124">
      <x:c r="A124" s="159" t="str">
        <x:f>IF(OR(A123="",A123&gt;=$D$2),"",A123+1)</x:f>
      </x:c>
      <x:c r="B124" s="162" t="str">
        <x:f>IF(A124="","",IFERROR(SUMPRODUCT(--('Project Plan'!$A$7:$A$206&lt;&gt;""),('Project Plan'!$P$7:$P$206+('Project Plan'!$P$7:$P$206="")),--('Project Plan'!$F$7:$F$206&lt;&gt;""),--('Project Plan'!$G$7:$G$206&lt;&gt;""),((A124&gt;='Project Plan'!$G$7:$G$206)+((A124&gt;='Project Plan'!$F$7:$F$206)*(A124&lt;'Project Plan'!$G$7:$G$206)*(A124-'Project Plan'!$F$7:$F$206+1)/('Project Plan'!$G$7:$G$206-'Project Plan'!$F$7:$F$206+1))))/SUMPRODUCT(--('Project Plan'!$A$7:$A$206&lt;&gt;""),('Project Plan'!$P$7:$P$206+('Project Plan'!$P$7:$P$206=""))),0))</x:f>
      </x:c>
      <x:c r="C124" s="162" t="str">
        <x:f>IF(A124="","",IF(A124&gt;$F$2,"",IF(A124=$F$2,$H$2,IFERROR(LOOKUP(2,1/(($G$7:$G$106&lt;&gt;"")*($G$7:$G$106&lt;=A124)),$H$7:$H$106),""))))</x:f>
      </x:c>
      <x:c r="D124" s="162" t="str">
        <x:f>IF(C124="","",C124-B124)</x:f>
      </x:c>
      <x:c r="E124" s="163" t="str">
        <x:f>IF(D124="","",IF(D124&gt;=0,"On / Ahead",IF(D124&gt;=-0.05,"Watch","Behind")))</x:f>
      </x:c>
      <x:c r="J124"/>
      <x:c r="K124"/>
      <x:c r="L124"/>
      <x:c r="M124" t="str">
        <x:f>IF(A124="","",TEXT(A124,"mmm d"))</x:f>
      </x:c>
      <x:c r="N124" s="14" t="e">
        <x:f>IF(B124="",NA(),B124)</x:f>
        <x:v>#N/A</x:v>
      </x:c>
      <x:c r="O124" s="14" t="e">
        <x:f>IF(OR(P124="",$B$2="",$F$2="",P124&lt;$B$2,P124&gt;$F$2),NA(),IF(Q124=0,IF($F$2=$B$2,$H$2,MAX(0,MIN(1,$H$2*(3*MAX(0,MIN(1,(P124-$B$2)/($F$2-$B$2)))^2-2*MAX(0,MIN(1,(P124-$B$2)/($F$2-$B$2)))^3)))),MAX(0,MIN(1,T124+(V124-T124)*(3*W124^2-2*W124^3)))))</x:f>
        <x:v>#N/A</x:v>
      </x:c>
      <x:c r="P124" s="189" t="str">
        <x:f>A124</x:f>
      </x:c>
      <x:c r="Q124" t="n">
        <x:f>COUNT($G$7:$G$106)</x:f>
        <x:v>0</x:v>
      </x:c>
      <x:c r="R124" t="str">
        <x:f>IF(OR(P124="",$B$2="",$F$2="",P124&lt;$B$2,P124&gt;$F$2),"",IF(Q124=0,0,IF(P124&lt;$G$7,0,IF(P124&gt;=INDEX($G$7:$G$106,Q124),Q124,MATCH(P124,$G$7:$G$106,1)))))</x:f>
      </x:c>
      <x:c r="S124" t="str">
        <x:f>IF(R124="","",IF(R124=0,$B$2,INDEX($G$7:$G$106,R124)))</x:f>
      </x:c>
      <x:c r="T124" s="14" t="str">
        <x:f>IF(R124="","",IF(R124=0,0,INDEX($H$7:$H$106,R124)))</x:f>
      </x:c>
      <x:c r="U124" t="str">
        <x:f>IF(R124="","",IF(Q124=0,$F$2,IF(R124=0,$G$7,IF(R124&lt;Q124,INDEX($G$7:$G$106,R124+1),$F$2))))</x:f>
      </x:c>
      <x:c r="V124" s="14" t="str">
        <x:f>IF(R124="","",IF(Q124=0,$H$2,IF(R124=0,$H$7,IF(R124&lt;Q124,INDEX($H$7:$H$106,R124+1),$H$2))))</x:f>
      </x:c>
      <x:c r="W124" s="188" t="str">
        <x:f>IF(R124="","",IF(U124=S124,1,MAX(0,MIN(1,(P124-S124)/(U124-S124)))))</x:f>
      </x:c>
    </x:row>
    <x:row r="125">
      <x:c r="A125" s="159" t="str">
        <x:f>IF(OR(A124="",A124&gt;=$D$2),"",A124+1)</x:f>
      </x:c>
      <x:c r="B125" s="162" t="str">
        <x:f>IF(A125="","",IFERROR(SUMPRODUCT(--('Project Plan'!$A$7:$A$206&lt;&gt;""),('Project Plan'!$P$7:$P$206+('Project Plan'!$P$7:$P$206="")),--('Project Plan'!$F$7:$F$206&lt;&gt;""),--('Project Plan'!$G$7:$G$206&lt;&gt;""),((A125&gt;='Project Plan'!$G$7:$G$206)+((A125&gt;='Project Plan'!$F$7:$F$206)*(A125&lt;'Project Plan'!$G$7:$G$206)*(A125-'Project Plan'!$F$7:$F$206+1)/('Project Plan'!$G$7:$G$206-'Project Plan'!$F$7:$F$206+1))))/SUMPRODUCT(--('Project Plan'!$A$7:$A$206&lt;&gt;""),('Project Plan'!$P$7:$P$206+('Project Plan'!$P$7:$P$206=""))),0))</x:f>
      </x:c>
      <x:c r="C125" s="162" t="str">
        <x:f>IF(A125="","",IF(A125&gt;$F$2,"",IF(A125=$F$2,$H$2,IFERROR(LOOKUP(2,1/(($G$7:$G$106&lt;&gt;"")*($G$7:$G$106&lt;=A125)),$H$7:$H$106),""))))</x:f>
      </x:c>
      <x:c r="D125" s="162" t="str">
        <x:f>IF(C125="","",C125-B125)</x:f>
      </x:c>
      <x:c r="E125" s="163" t="str">
        <x:f>IF(D125="","",IF(D125&gt;=0,"On / Ahead",IF(D125&gt;=-0.05,"Watch","Behind")))</x:f>
      </x:c>
      <x:c r="J125"/>
      <x:c r="K125"/>
      <x:c r="L125"/>
      <x:c r="M125" t="str">
        <x:f>IF(A125="","",TEXT(A125,"mmm d"))</x:f>
      </x:c>
      <x:c r="N125" s="14" t="e">
        <x:f>IF(B125="",NA(),B125)</x:f>
        <x:v>#N/A</x:v>
      </x:c>
      <x:c r="O125" s="14" t="e">
        <x:f>IF(OR(P125="",$B$2="",$F$2="",P125&lt;$B$2,P125&gt;$F$2),NA(),IF(Q125=0,IF($F$2=$B$2,$H$2,MAX(0,MIN(1,$H$2*(3*MAX(0,MIN(1,(P125-$B$2)/($F$2-$B$2)))^2-2*MAX(0,MIN(1,(P125-$B$2)/($F$2-$B$2)))^3)))),MAX(0,MIN(1,T125+(V125-T125)*(3*W125^2-2*W125^3)))))</x:f>
        <x:v>#N/A</x:v>
      </x:c>
      <x:c r="P125" s="189" t="str">
        <x:f>A125</x:f>
      </x:c>
      <x:c r="Q125" t="n">
        <x:f>COUNT($G$7:$G$106)</x:f>
        <x:v>0</x:v>
      </x:c>
      <x:c r="R125" t="str">
        <x:f>IF(OR(P125="",$B$2="",$F$2="",P125&lt;$B$2,P125&gt;$F$2),"",IF(Q125=0,0,IF(P125&lt;$G$7,0,IF(P125&gt;=INDEX($G$7:$G$106,Q125),Q125,MATCH(P125,$G$7:$G$106,1)))))</x:f>
      </x:c>
      <x:c r="S125" t="str">
        <x:f>IF(R125="","",IF(R125=0,$B$2,INDEX($G$7:$G$106,R125)))</x:f>
      </x:c>
      <x:c r="T125" s="14" t="str">
        <x:f>IF(R125="","",IF(R125=0,0,INDEX($H$7:$H$106,R125)))</x:f>
      </x:c>
      <x:c r="U125" t="str">
        <x:f>IF(R125="","",IF(Q125=0,$F$2,IF(R125=0,$G$7,IF(R125&lt;Q125,INDEX($G$7:$G$106,R125+1),$F$2))))</x:f>
      </x:c>
      <x:c r="V125" s="14" t="str">
        <x:f>IF(R125="","",IF(Q125=0,$H$2,IF(R125=0,$H$7,IF(R125&lt;Q125,INDEX($H$7:$H$106,R125+1),$H$2))))</x:f>
      </x:c>
      <x:c r="W125" s="188" t="str">
        <x:f>IF(R125="","",IF(U125=S125,1,MAX(0,MIN(1,(P125-S125)/(U125-S125)))))</x:f>
      </x:c>
    </x:row>
    <x:row r="126">
      <x:c r="A126" s="159" t="str">
        <x:f>IF(OR(A125="",A125&gt;=$D$2),"",A125+1)</x:f>
      </x:c>
      <x:c r="B126" s="162" t="str">
        <x:f>IF(A126="","",IFERROR(SUMPRODUCT(--('Project Plan'!$A$7:$A$206&lt;&gt;""),('Project Plan'!$P$7:$P$206+('Project Plan'!$P$7:$P$206="")),--('Project Plan'!$F$7:$F$206&lt;&gt;""),--('Project Plan'!$G$7:$G$206&lt;&gt;""),((A126&gt;='Project Plan'!$G$7:$G$206)+((A126&gt;='Project Plan'!$F$7:$F$206)*(A126&lt;'Project Plan'!$G$7:$G$206)*(A126-'Project Plan'!$F$7:$F$206+1)/('Project Plan'!$G$7:$G$206-'Project Plan'!$F$7:$F$206+1))))/SUMPRODUCT(--('Project Plan'!$A$7:$A$206&lt;&gt;""),('Project Plan'!$P$7:$P$206+('Project Plan'!$P$7:$P$206=""))),0))</x:f>
      </x:c>
      <x:c r="C126" s="162" t="str">
        <x:f>IF(A126="","",IF(A126&gt;$F$2,"",IF(A126=$F$2,$H$2,IFERROR(LOOKUP(2,1/(($G$7:$G$106&lt;&gt;"")*($G$7:$G$106&lt;=A126)),$H$7:$H$106),""))))</x:f>
      </x:c>
      <x:c r="D126" s="162" t="str">
        <x:f>IF(C126="","",C126-B126)</x:f>
      </x:c>
      <x:c r="E126" s="163" t="str">
        <x:f>IF(D126="","",IF(D126&gt;=0,"On / Ahead",IF(D126&gt;=-0.05,"Watch","Behind")))</x:f>
      </x:c>
      <x:c r="J126"/>
      <x:c r="K126"/>
      <x:c r="L126"/>
      <x:c r="M126" t="str">
        <x:f>IF(A126="","",TEXT(A126,"mmm d"))</x:f>
      </x:c>
      <x:c r="N126" s="14" t="e">
        <x:f>IF(B126="",NA(),B126)</x:f>
        <x:v>#N/A</x:v>
      </x:c>
      <x:c r="O126" s="14" t="e">
        <x:f>IF(OR(P126="",$B$2="",$F$2="",P126&lt;$B$2,P126&gt;$F$2),NA(),IF(Q126=0,IF($F$2=$B$2,$H$2,MAX(0,MIN(1,$H$2*(3*MAX(0,MIN(1,(P126-$B$2)/($F$2-$B$2)))^2-2*MAX(0,MIN(1,(P126-$B$2)/($F$2-$B$2)))^3)))),MAX(0,MIN(1,T126+(V126-T126)*(3*W126^2-2*W126^3)))))</x:f>
        <x:v>#N/A</x:v>
      </x:c>
      <x:c r="P126" s="189" t="str">
        <x:f>A126</x:f>
      </x:c>
      <x:c r="Q126" t="n">
        <x:f>COUNT($G$7:$G$106)</x:f>
        <x:v>0</x:v>
      </x:c>
      <x:c r="R126" t="str">
        <x:f>IF(OR(P126="",$B$2="",$F$2="",P126&lt;$B$2,P126&gt;$F$2),"",IF(Q126=0,0,IF(P126&lt;$G$7,0,IF(P126&gt;=INDEX($G$7:$G$106,Q126),Q126,MATCH(P126,$G$7:$G$106,1)))))</x:f>
      </x:c>
      <x:c r="S126" t="str">
        <x:f>IF(R126="","",IF(R126=0,$B$2,INDEX($G$7:$G$106,R126)))</x:f>
      </x:c>
      <x:c r="T126" s="14" t="str">
        <x:f>IF(R126="","",IF(R126=0,0,INDEX($H$7:$H$106,R126)))</x:f>
      </x:c>
      <x:c r="U126" t="str">
        <x:f>IF(R126="","",IF(Q126=0,$F$2,IF(R126=0,$G$7,IF(R126&lt;Q126,INDEX($G$7:$G$106,R126+1),$F$2))))</x:f>
      </x:c>
      <x:c r="V126" s="14" t="str">
        <x:f>IF(R126="","",IF(Q126=0,$H$2,IF(R126=0,$H$7,IF(R126&lt;Q126,INDEX($H$7:$H$106,R126+1),$H$2))))</x:f>
      </x:c>
      <x:c r="W126" s="188" t="str">
        <x:f>IF(R126="","",IF(U126=S126,1,MAX(0,MIN(1,(P126-S126)/(U126-S126)))))</x:f>
      </x:c>
    </x:row>
    <x:row r="127">
      <x:c r="A127" s="159" t="str">
        <x:f>IF(OR(A126="",A126&gt;=$D$2),"",A126+1)</x:f>
      </x:c>
      <x:c r="B127" s="162" t="str">
        <x:f>IF(A127="","",IFERROR(SUMPRODUCT(--('Project Plan'!$A$7:$A$206&lt;&gt;""),('Project Plan'!$P$7:$P$206+('Project Plan'!$P$7:$P$206="")),--('Project Plan'!$F$7:$F$206&lt;&gt;""),--('Project Plan'!$G$7:$G$206&lt;&gt;""),((A127&gt;='Project Plan'!$G$7:$G$206)+((A127&gt;='Project Plan'!$F$7:$F$206)*(A127&lt;'Project Plan'!$G$7:$G$206)*(A127-'Project Plan'!$F$7:$F$206+1)/('Project Plan'!$G$7:$G$206-'Project Plan'!$F$7:$F$206+1))))/SUMPRODUCT(--('Project Plan'!$A$7:$A$206&lt;&gt;""),('Project Plan'!$P$7:$P$206+('Project Plan'!$P$7:$P$206=""))),0))</x:f>
      </x:c>
      <x:c r="C127" s="162" t="str">
        <x:f>IF(A127="","",IF(A127&gt;$F$2,"",IF(A127=$F$2,$H$2,IFERROR(LOOKUP(2,1/(($G$7:$G$106&lt;&gt;"")*($G$7:$G$106&lt;=A127)),$H$7:$H$106),""))))</x:f>
      </x:c>
      <x:c r="D127" s="162" t="str">
        <x:f>IF(C127="","",C127-B127)</x:f>
      </x:c>
      <x:c r="E127" s="163" t="str">
        <x:f>IF(D127="","",IF(D127&gt;=0,"On / Ahead",IF(D127&gt;=-0.05,"Watch","Behind")))</x:f>
      </x:c>
      <x:c r="J127"/>
      <x:c r="K127"/>
      <x:c r="L127"/>
      <x:c r="M127" t="str">
        <x:f>IF(A127="","",TEXT(A127,"mmm d"))</x:f>
      </x:c>
      <x:c r="N127" s="14" t="e">
        <x:f>IF(B127="",NA(),B127)</x:f>
        <x:v>#N/A</x:v>
      </x:c>
      <x:c r="O127" s="14" t="e">
        <x:f>IF(OR(P127="",$B$2="",$F$2="",P127&lt;$B$2,P127&gt;$F$2),NA(),IF(Q127=0,IF($F$2=$B$2,$H$2,MAX(0,MIN(1,$H$2*(3*MAX(0,MIN(1,(P127-$B$2)/($F$2-$B$2)))^2-2*MAX(0,MIN(1,(P127-$B$2)/($F$2-$B$2)))^3)))),MAX(0,MIN(1,T127+(V127-T127)*(3*W127^2-2*W127^3)))))</x:f>
        <x:v>#N/A</x:v>
      </x:c>
      <x:c r="P127" s="189" t="str">
        <x:f>A127</x:f>
      </x:c>
      <x:c r="Q127" t="n">
        <x:f>COUNT($G$7:$G$106)</x:f>
        <x:v>0</x:v>
      </x:c>
      <x:c r="R127" t="str">
        <x:f>IF(OR(P127="",$B$2="",$F$2="",P127&lt;$B$2,P127&gt;$F$2),"",IF(Q127=0,0,IF(P127&lt;$G$7,0,IF(P127&gt;=INDEX($G$7:$G$106,Q127),Q127,MATCH(P127,$G$7:$G$106,1)))))</x:f>
      </x:c>
      <x:c r="S127" t="str">
        <x:f>IF(R127="","",IF(R127=0,$B$2,INDEX($G$7:$G$106,R127)))</x:f>
      </x:c>
      <x:c r="T127" s="14" t="str">
        <x:f>IF(R127="","",IF(R127=0,0,INDEX($H$7:$H$106,R127)))</x:f>
      </x:c>
      <x:c r="U127" t="str">
        <x:f>IF(R127="","",IF(Q127=0,$F$2,IF(R127=0,$G$7,IF(R127&lt;Q127,INDEX($G$7:$G$106,R127+1),$F$2))))</x:f>
      </x:c>
      <x:c r="V127" s="14" t="str">
        <x:f>IF(R127="","",IF(Q127=0,$H$2,IF(R127=0,$H$7,IF(R127&lt;Q127,INDEX($H$7:$H$106,R127+1),$H$2))))</x:f>
      </x:c>
      <x:c r="W127" s="188" t="str">
        <x:f>IF(R127="","",IF(U127=S127,1,MAX(0,MIN(1,(P127-S127)/(U127-S127)))))</x:f>
      </x:c>
    </x:row>
    <x:row r="128">
      <x:c r="A128" s="159" t="str">
        <x:f>IF(OR(A127="",A127&gt;=$D$2),"",A127+1)</x:f>
      </x:c>
      <x:c r="B128" s="162" t="str">
        <x:f>IF(A128="","",IFERROR(SUMPRODUCT(--('Project Plan'!$A$7:$A$206&lt;&gt;""),('Project Plan'!$P$7:$P$206+('Project Plan'!$P$7:$P$206="")),--('Project Plan'!$F$7:$F$206&lt;&gt;""),--('Project Plan'!$G$7:$G$206&lt;&gt;""),((A128&gt;='Project Plan'!$G$7:$G$206)+((A128&gt;='Project Plan'!$F$7:$F$206)*(A128&lt;'Project Plan'!$G$7:$G$206)*(A128-'Project Plan'!$F$7:$F$206+1)/('Project Plan'!$G$7:$G$206-'Project Plan'!$F$7:$F$206+1))))/SUMPRODUCT(--('Project Plan'!$A$7:$A$206&lt;&gt;""),('Project Plan'!$P$7:$P$206+('Project Plan'!$P$7:$P$206=""))),0))</x:f>
      </x:c>
      <x:c r="C128" s="162" t="str">
        <x:f>IF(A128="","",IF(A128&gt;$F$2,"",IF(A128=$F$2,$H$2,IFERROR(LOOKUP(2,1/(($G$7:$G$106&lt;&gt;"")*($G$7:$G$106&lt;=A128)),$H$7:$H$106),""))))</x:f>
      </x:c>
      <x:c r="D128" s="162" t="str">
        <x:f>IF(C128="","",C128-B128)</x:f>
      </x:c>
      <x:c r="E128" s="163" t="str">
        <x:f>IF(D128="","",IF(D128&gt;=0,"On / Ahead",IF(D128&gt;=-0.05,"Watch","Behind")))</x:f>
      </x:c>
      <x:c r="J128"/>
      <x:c r="K128"/>
      <x:c r="L128"/>
      <x:c r="M128" t="str">
        <x:f>IF(A128="","",TEXT(A128,"mmm d"))</x:f>
      </x:c>
      <x:c r="N128" s="14" t="e">
        <x:f>IF(B128="",NA(),B128)</x:f>
        <x:v>#N/A</x:v>
      </x:c>
      <x:c r="O128" s="14" t="e">
        <x:f>IF(OR(P128="",$B$2="",$F$2="",P128&lt;$B$2,P128&gt;$F$2),NA(),IF(Q128=0,IF($F$2=$B$2,$H$2,MAX(0,MIN(1,$H$2*(3*MAX(0,MIN(1,(P128-$B$2)/($F$2-$B$2)))^2-2*MAX(0,MIN(1,(P128-$B$2)/($F$2-$B$2)))^3)))),MAX(0,MIN(1,T128+(V128-T128)*(3*W128^2-2*W128^3)))))</x:f>
        <x:v>#N/A</x:v>
      </x:c>
      <x:c r="P128" s="189" t="str">
        <x:f>A128</x:f>
      </x:c>
      <x:c r="Q128" t="n">
        <x:f>COUNT($G$7:$G$106)</x:f>
        <x:v>0</x:v>
      </x:c>
      <x:c r="R128" t="str">
        <x:f>IF(OR(P128="",$B$2="",$F$2="",P128&lt;$B$2,P128&gt;$F$2),"",IF(Q128=0,0,IF(P128&lt;$G$7,0,IF(P128&gt;=INDEX($G$7:$G$106,Q128),Q128,MATCH(P128,$G$7:$G$106,1)))))</x:f>
      </x:c>
      <x:c r="S128" t="str">
        <x:f>IF(R128="","",IF(R128=0,$B$2,INDEX($G$7:$G$106,R128)))</x:f>
      </x:c>
      <x:c r="T128" s="14" t="str">
        <x:f>IF(R128="","",IF(R128=0,0,INDEX($H$7:$H$106,R128)))</x:f>
      </x:c>
      <x:c r="U128" t="str">
        <x:f>IF(R128="","",IF(Q128=0,$F$2,IF(R128=0,$G$7,IF(R128&lt;Q128,INDEX($G$7:$G$106,R128+1),$F$2))))</x:f>
      </x:c>
      <x:c r="V128" s="14" t="str">
        <x:f>IF(R128="","",IF(Q128=0,$H$2,IF(R128=0,$H$7,IF(R128&lt;Q128,INDEX($H$7:$H$106,R128+1),$H$2))))</x:f>
      </x:c>
      <x:c r="W128" s="188" t="str">
        <x:f>IF(R128="","",IF(U128=S128,1,MAX(0,MIN(1,(P128-S128)/(U128-S128)))))</x:f>
      </x:c>
    </x:row>
    <x:row r="129">
      <x:c r="A129" s="159" t="str">
        <x:f>IF(OR(A128="",A128&gt;=$D$2),"",A128+1)</x:f>
      </x:c>
      <x:c r="B129" s="162" t="str">
        <x:f>IF(A129="","",IFERROR(SUMPRODUCT(--('Project Plan'!$A$7:$A$206&lt;&gt;""),('Project Plan'!$P$7:$P$206+('Project Plan'!$P$7:$P$206="")),--('Project Plan'!$F$7:$F$206&lt;&gt;""),--('Project Plan'!$G$7:$G$206&lt;&gt;""),((A129&gt;='Project Plan'!$G$7:$G$206)+((A129&gt;='Project Plan'!$F$7:$F$206)*(A129&lt;'Project Plan'!$G$7:$G$206)*(A129-'Project Plan'!$F$7:$F$206+1)/('Project Plan'!$G$7:$G$206-'Project Plan'!$F$7:$F$206+1))))/SUMPRODUCT(--('Project Plan'!$A$7:$A$206&lt;&gt;""),('Project Plan'!$P$7:$P$206+('Project Plan'!$P$7:$P$206=""))),0))</x:f>
      </x:c>
      <x:c r="C129" s="162" t="str">
        <x:f>IF(A129="","",IF(A129&gt;$F$2,"",IF(A129=$F$2,$H$2,IFERROR(LOOKUP(2,1/(($G$7:$G$106&lt;&gt;"")*($G$7:$G$106&lt;=A129)),$H$7:$H$106),""))))</x:f>
      </x:c>
      <x:c r="D129" s="162" t="str">
        <x:f>IF(C129="","",C129-B129)</x:f>
      </x:c>
      <x:c r="E129" s="163" t="str">
        <x:f>IF(D129="","",IF(D129&gt;=0,"On / Ahead",IF(D129&gt;=-0.05,"Watch","Behind")))</x:f>
      </x:c>
      <x:c r="J129"/>
      <x:c r="K129"/>
      <x:c r="L129"/>
      <x:c r="M129" t="str">
        <x:f>IF(A129="","",TEXT(A129,"mmm d"))</x:f>
      </x:c>
      <x:c r="N129" s="14" t="e">
        <x:f>IF(B129="",NA(),B129)</x:f>
        <x:v>#N/A</x:v>
      </x:c>
      <x:c r="O129" s="14" t="e">
        <x:f>IF(OR(P129="",$B$2="",$F$2="",P129&lt;$B$2,P129&gt;$F$2),NA(),IF(Q129=0,IF($F$2=$B$2,$H$2,MAX(0,MIN(1,$H$2*(3*MAX(0,MIN(1,(P129-$B$2)/($F$2-$B$2)))^2-2*MAX(0,MIN(1,(P129-$B$2)/($F$2-$B$2)))^3)))),MAX(0,MIN(1,T129+(V129-T129)*(3*W129^2-2*W129^3)))))</x:f>
        <x:v>#N/A</x:v>
      </x:c>
      <x:c r="P129" s="189" t="str">
        <x:f>A129</x:f>
      </x:c>
      <x:c r="Q129" t="n">
        <x:f>COUNT($G$7:$G$106)</x:f>
        <x:v>0</x:v>
      </x:c>
      <x:c r="R129" t="str">
        <x:f>IF(OR(P129="",$B$2="",$F$2="",P129&lt;$B$2,P129&gt;$F$2),"",IF(Q129=0,0,IF(P129&lt;$G$7,0,IF(P129&gt;=INDEX($G$7:$G$106,Q129),Q129,MATCH(P129,$G$7:$G$106,1)))))</x:f>
      </x:c>
      <x:c r="S129" t="str">
        <x:f>IF(R129="","",IF(R129=0,$B$2,INDEX($G$7:$G$106,R129)))</x:f>
      </x:c>
      <x:c r="T129" s="14" t="str">
        <x:f>IF(R129="","",IF(R129=0,0,INDEX($H$7:$H$106,R129)))</x:f>
      </x:c>
      <x:c r="U129" t="str">
        <x:f>IF(R129="","",IF(Q129=0,$F$2,IF(R129=0,$G$7,IF(R129&lt;Q129,INDEX($G$7:$G$106,R129+1),$F$2))))</x:f>
      </x:c>
      <x:c r="V129" s="14" t="str">
        <x:f>IF(R129="","",IF(Q129=0,$H$2,IF(R129=0,$H$7,IF(R129&lt;Q129,INDEX($H$7:$H$106,R129+1),$H$2))))</x:f>
      </x:c>
      <x:c r="W129" s="188" t="str">
        <x:f>IF(R129="","",IF(U129=S129,1,MAX(0,MIN(1,(P129-S129)/(U129-S129)))))</x:f>
      </x:c>
    </x:row>
    <x:row r="130">
      <x:c r="A130" s="159" t="str">
        <x:f>IF(OR(A129="",A129&gt;=$D$2),"",A129+1)</x:f>
      </x:c>
      <x:c r="B130" s="162" t="str">
        <x:f>IF(A130="","",IFERROR(SUMPRODUCT(--('Project Plan'!$A$7:$A$206&lt;&gt;""),('Project Plan'!$P$7:$P$206+('Project Plan'!$P$7:$P$206="")),--('Project Plan'!$F$7:$F$206&lt;&gt;""),--('Project Plan'!$G$7:$G$206&lt;&gt;""),((A130&gt;='Project Plan'!$G$7:$G$206)+((A130&gt;='Project Plan'!$F$7:$F$206)*(A130&lt;'Project Plan'!$G$7:$G$206)*(A130-'Project Plan'!$F$7:$F$206+1)/('Project Plan'!$G$7:$G$206-'Project Plan'!$F$7:$F$206+1))))/SUMPRODUCT(--('Project Plan'!$A$7:$A$206&lt;&gt;""),('Project Plan'!$P$7:$P$206+('Project Plan'!$P$7:$P$206=""))),0))</x:f>
      </x:c>
      <x:c r="C130" s="162" t="str">
        <x:f>IF(A130="","",IF(A130&gt;$F$2,"",IF(A130=$F$2,$H$2,IFERROR(LOOKUP(2,1/(($G$7:$G$106&lt;&gt;"")*($G$7:$G$106&lt;=A130)),$H$7:$H$106),""))))</x:f>
      </x:c>
      <x:c r="D130" s="162" t="str">
        <x:f>IF(C130="","",C130-B130)</x:f>
      </x:c>
      <x:c r="E130" s="163" t="str">
        <x:f>IF(D130="","",IF(D130&gt;=0,"On / Ahead",IF(D130&gt;=-0.05,"Watch","Behind")))</x:f>
      </x:c>
      <x:c r="J130"/>
      <x:c r="K130"/>
      <x:c r="L130"/>
      <x:c r="M130" t="str">
        <x:f>IF(A130="","",TEXT(A130,"mmm d"))</x:f>
      </x:c>
      <x:c r="N130" s="14" t="e">
        <x:f>IF(B130="",NA(),B130)</x:f>
        <x:v>#N/A</x:v>
      </x:c>
      <x:c r="O130" s="14" t="e">
        <x:f>IF(OR(P130="",$B$2="",$F$2="",P130&lt;$B$2,P130&gt;$F$2),NA(),IF(Q130=0,IF($F$2=$B$2,$H$2,MAX(0,MIN(1,$H$2*(3*MAX(0,MIN(1,(P130-$B$2)/($F$2-$B$2)))^2-2*MAX(0,MIN(1,(P130-$B$2)/($F$2-$B$2)))^3)))),MAX(0,MIN(1,T130+(V130-T130)*(3*W130^2-2*W130^3)))))</x:f>
        <x:v>#N/A</x:v>
      </x:c>
      <x:c r="P130" s="189" t="str">
        <x:f>A130</x:f>
      </x:c>
      <x:c r="Q130" t="n">
        <x:f>COUNT($G$7:$G$106)</x:f>
        <x:v>0</x:v>
      </x:c>
      <x:c r="R130" t="str">
        <x:f>IF(OR(P130="",$B$2="",$F$2="",P130&lt;$B$2,P130&gt;$F$2),"",IF(Q130=0,0,IF(P130&lt;$G$7,0,IF(P130&gt;=INDEX($G$7:$G$106,Q130),Q130,MATCH(P130,$G$7:$G$106,1)))))</x:f>
      </x:c>
      <x:c r="S130" t="str">
        <x:f>IF(R130="","",IF(R130=0,$B$2,INDEX($G$7:$G$106,R130)))</x:f>
      </x:c>
      <x:c r="T130" s="14" t="str">
        <x:f>IF(R130="","",IF(R130=0,0,INDEX($H$7:$H$106,R130)))</x:f>
      </x:c>
      <x:c r="U130" t="str">
        <x:f>IF(R130="","",IF(Q130=0,$F$2,IF(R130=0,$G$7,IF(R130&lt;Q130,INDEX($G$7:$G$106,R130+1),$F$2))))</x:f>
      </x:c>
      <x:c r="V130" s="14" t="str">
        <x:f>IF(R130="","",IF(Q130=0,$H$2,IF(R130=0,$H$7,IF(R130&lt;Q130,INDEX($H$7:$H$106,R130+1),$H$2))))</x:f>
      </x:c>
      <x:c r="W130" s="188" t="str">
        <x:f>IF(R130="","",IF(U130=S130,1,MAX(0,MIN(1,(P130-S130)/(U130-S130)))))</x:f>
      </x:c>
    </x:row>
    <x:row r="131">
      <x:c r="A131" s="159" t="str">
        <x:f>IF(OR(A130="",A130&gt;=$D$2),"",A130+1)</x:f>
      </x:c>
      <x:c r="B131" s="162" t="str">
        <x:f>IF(A131="","",IFERROR(SUMPRODUCT(--('Project Plan'!$A$7:$A$206&lt;&gt;""),('Project Plan'!$P$7:$P$206+('Project Plan'!$P$7:$P$206="")),--('Project Plan'!$F$7:$F$206&lt;&gt;""),--('Project Plan'!$G$7:$G$206&lt;&gt;""),((A131&gt;='Project Plan'!$G$7:$G$206)+((A131&gt;='Project Plan'!$F$7:$F$206)*(A131&lt;'Project Plan'!$G$7:$G$206)*(A131-'Project Plan'!$F$7:$F$206+1)/('Project Plan'!$G$7:$G$206-'Project Plan'!$F$7:$F$206+1))))/SUMPRODUCT(--('Project Plan'!$A$7:$A$206&lt;&gt;""),('Project Plan'!$P$7:$P$206+('Project Plan'!$P$7:$P$206=""))),0))</x:f>
      </x:c>
      <x:c r="C131" s="162" t="str">
        <x:f>IF(A131="","",IF(A131&gt;$F$2,"",IF(A131=$F$2,$H$2,IFERROR(LOOKUP(2,1/(($G$7:$G$106&lt;&gt;"")*($G$7:$G$106&lt;=A131)),$H$7:$H$106),""))))</x:f>
      </x:c>
      <x:c r="D131" s="162" t="str">
        <x:f>IF(C131="","",C131-B131)</x:f>
      </x:c>
      <x:c r="E131" s="163" t="str">
        <x:f>IF(D131="","",IF(D131&gt;=0,"On / Ahead",IF(D131&gt;=-0.05,"Watch","Behind")))</x:f>
      </x:c>
      <x:c r="J131"/>
      <x:c r="K131"/>
      <x:c r="L131"/>
      <x:c r="M131" t="str">
        <x:f>IF(A131="","",TEXT(A131,"mmm d"))</x:f>
      </x:c>
      <x:c r="N131" s="14" t="e">
        <x:f>IF(B131="",NA(),B131)</x:f>
        <x:v>#N/A</x:v>
      </x:c>
      <x:c r="O131" s="14" t="e">
        <x:f>IF(OR(P131="",$B$2="",$F$2="",P131&lt;$B$2,P131&gt;$F$2),NA(),IF(Q131=0,IF($F$2=$B$2,$H$2,MAX(0,MIN(1,$H$2*(3*MAX(0,MIN(1,(P131-$B$2)/($F$2-$B$2)))^2-2*MAX(0,MIN(1,(P131-$B$2)/($F$2-$B$2)))^3)))),MAX(0,MIN(1,T131+(V131-T131)*(3*W131^2-2*W131^3)))))</x:f>
        <x:v>#N/A</x:v>
      </x:c>
      <x:c r="P131" s="189" t="str">
        <x:f>A131</x:f>
      </x:c>
      <x:c r="Q131" t="n">
        <x:f>COUNT($G$7:$G$106)</x:f>
        <x:v>0</x:v>
      </x:c>
      <x:c r="R131" t="str">
        <x:f>IF(OR(P131="",$B$2="",$F$2="",P131&lt;$B$2,P131&gt;$F$2),"",IF(Q131=0,0,IF(P131&lt;$G$7,0,IF(P131&gt;=INDEX($G$7:$G$106,Q131),Q131,MATCH(P131,$G$7:$G$106,1)))))</x:f>
      </x:c>
      <x:c r="S131" t="str">
        <x:f>IF(R131="","",IF(R131=0,$B$2,INDEX($G$7:$G$106,R131)))</x:f>
      </x:c>
      <x:c r="T131" s="14" t="str">
        <x:f>IF(R131="","",IF(R131=0,0,INDEX($H$7:$H$106,R131)))</x:f>
      </x:c>
      <x:c r="U131" t="str">
        <x:f>IF(R131="","",IF(Q131=0,$F$2,IF(R131=0,$G$7,IF(R131&lt;Q131,INDEX($G$7:$G$106,R131+1),$F$2))))</x:f>
      </x:c>
      <x:c r="V131" s="14" t="str">
        <x:f>IF(R131="","",IF(Q131=0,$H$2,IF(R131=0,$H$7,IF(R131&lt;Q131,INDEX($H$7:$H$106,R131+1),$H$2))))</x:f>
      </x:c>
      <x:c r="W131" s="188" t="str">
        <x:f>IF(R131="","",IF(U131=S131,1,MAX(0,MIN(1,(P131-S131)/(U131-S131)))))</x:f>
      </x:c>
    </x:row>
    <x:row r="132">
      <x:c r="A132" s="159" t="str">
        <x:f>IF(OR(A131="",A131&gt;=$D$2),"",A131+1)</x:f>
      </x:c>
      <x:c r="B132" s="162" t="str">
        <x:f>IF(A132="","",IFERROR(SUMPRODUCT(--('Project Plan'!$A$7:$A$206&lt;&gt;""),('Project Plan'!$P$7:$P$206+('Project Plan'!$P$7:$P$206="")),--('Project Plan'!$F$7:$F$206&lt;&gt;""),--('Project Plan'!$G$7:$G$206&lt;&gt;""),((A132&gt;='Project Plan'!$G$7:$G$206)+((A132&gt;='Project Plan'!$F$7:$F$206)*(A132&lt;'Project Plan'!$G$7:$G$206)*(A132-'Project Plan'!$F$7:$F$206+1)/('Project Plan'!$G$7:$G$206-'Project Plan'!$F$7:$F$206+1))))/SUMPRODUCT(--('Project Plan'!$A$7:$A$206&lt;&gt;""),('Project Plan'!$P$7:$P$206+('Project Plan'!$P$7:$P$206=""))),0))</x:f>
      </x:c>
      <x:c r="C132" s="162" t="str">
        <x:f>IF(A132="","",IF(A132&gt;$F$2,"",IF(A132=$F$2,$H$2,IFERROR(LOOKUP(2,1/(($G$7:$G$106&lt;&gt;"")*($G$7:$G$106&lt;=A132)),$H$7:$H$106),""))))</x:f>
      </x:c>
      <x:c r="D132" s="162" t="str">
        <x:f>IF(C132="","",C132-B132)</x:f>
      </x:c>
      <x:c r="E132" s="163" t="str">
        <x:f>IF(D132="","",IF(D132&gt;=0,"On / Ahead",IF(D132&gt;=-0.05,"Watch","Behind")))</x:f>
      </x:c>
      <x:c r="J132"/>
      <x:c r="K132"/>
      <x:c r="L132"/>
      <x:c r="M132" t="str">
        <x:f>IF(A132="","",TEXT(A132,"mmm d"))</x:f>
      </x:c>
      <x:c r="N132" s="14" t="e">
        <x:f>IF(B132="",NA(),B132)</x:f>
        <x:v>#N/A</x:v>
      </x:c>
      <x:c r="O132" s="14" t="e">
        <x:f>IF(OR(P132="",$B$2="",$F$2="",P132&lt;$B$2,P132&gt;$F$2),NA(),IF(Q132=0,IF($F$2=$B$2,$H$2,MAX(0,MIN(1,$H$2*(3*MAX(0,MIN(1,(P132-$B$2)/($F$2-$B$2)))^2-2*MAX(0,MIN(1,(P132-$B$2)/($F$2-$B$2)))^3)))),MAX(0,MIN(1,T132+(V132-T132)*(3*W132^2-2*W132^3)))))</x:f>
        <x:v>#N/A</x:v>
      </x:c>
      <x:c r="P132" s="189" t="str">
        <x:f>A132</x:f>
      </x:c>
      <x:c r="Q132" t="n">
        <x:f>COUNT($G$7:$G$106)</x:f>
        <x:v>0</x:v>
      </x:c>
      <x:c r="R132" t="str">
        <x:f>IF(OR(P132="",$B$2="",$F$2="",P132&lt;$B$2,P132&gt;$F$2),"",IF(Q132=0,0,IF(P132&lt;$G$7,0,IF(P132&gt;=INDEX($G$7:$G$106,Q132),Q132,MATCH(P132,$G$7:$G$106,1)))))</x:f>
      </x:c>
      <x:c r="S132" t="str">
        <x:f>IF(R132="","",IF(R132=0,$B$2,INDEX($G$7:$G$106,R132)))</x:f>
      </x:c>
      <x:c r="T132" s="14" t="str">
        <x:f>IF(R132="","",IF(R132=0,0,INDEX($H$7:$H$106,R132)))</x:f>
      </x:c>
      <x:c r="U132" t="str">
        <x:f>IF(R132="","",IF(Q132=0,$F$2,IF(R132=0,$G$7,IF(R132&lt;Q132,INDEX($G$7:$G$106,R132+1),$F$2))))</x:f>
      </x:c>
      <x:c r="V132" s="14" t="str">
        <x:f>IF(R132="","",IF(Q132=0,$H$2,IF(R132=0,$H$7,IF(R132&lt;Q132,INDEX($H$7:$H$106,R132+1),$H$2))))</x:f>
      </x:c>
      <x:c r="W132" s="188" t="str">
        <x:f>IF(R132="","",IF(U132=S132,1,MAX(0,MIN(1,(P132-S132)/(U132-S132)))))</x:f>
      </x:c>
    </x:row>
    <x:row r="133">
      <x:c r="A133" s="159" t="str">
        <x:f>IF(OR(A132="",A132&gt;=$D$2),"",A132+1)</x:f>
      </x:c>
      <x:c r="B133" s="162" t="str">
        <x:f>IF(A133="","",IFERROR(SUMPRODUCT(--('Project Plan'!$A$7:$A$206&lt;&gt;""),('Project Plan'!$P$7:$P$206+('Project Plan'!$P$7:$P$206="")),--('Project Plan'!$F$7:$F$206&lt;&gt;""),--('Project Plan'!$G$7:$G$206&lt;&gt;""),((A133&gt;='Project Plan'!$G$7:$G$206)+((A133&gt;='Project Plan'!$F$7:$F$206)*(A133&lt;'Project Plan'!$G$7:$G$206)*(A133-'Project Plan'!$F$7:$F$206+1)/('Project Plan'!$G$7:$G$206-'Project Plan'!$F$7:$F$206+1))))/SUMPRODUCT(--('Project Plan'!$A$7:$A$206&lt;&gt;""),('Project Plan'!$P$7:$P$206+('Project Plan'!$P$7:$P$206=""))),0))</x:f>
      </x:c>
      <x:c r="C133" s="162" t="str">
        <x:f>IF(A133="","",IF(A133&gt;$F$2,"",IF(A133=$F$2,$H$2,IFERROR(LOOKUP(2,1/(($G$7:$G$106&lt;&gt;"")*($G$7:$G$106&lt;=A133)),$H$7:$H$106),""))))</x:f>
      </x:c>
      <x:c r="D133" s="162" t="str">
        <x:f>IF(C133="","",C133-B133)</x:f>
      </x:c>
      <x:c r="E133" s="163" t="str">
        <x:f>IF(D133="","",IF(D133&gt;=0,"On / Ahead",IF(D133&gt;=-0.05,"Watch","Behind")))</x:f>
      </x:c>
      <x:c r="J133"/>
      <x:c r="K133"/>
      <x:c r="L133"/>
      <x:c r="M133" t="str">
        <x:f>IF(A133="","",TEXT(A133,"mmm d"))</x:f>
      </x:c>
      <x:c r="N133" s="14" t="e">
        <x:f>IF(B133="",NA(),B133)</x:f>
        <x:v>#N/A</x:v>
      </x:c>
      <x:c r="O133" s="14" t="e">
        <x:f>IF(OR(P133="",$B$2="",$F$2="",P133&lt;$B$2,P133&gt;$F$2),NA(),IF(Q133=0,IF($F$2=$B$2,$H$2,MAX(0,MIN(1,$H$2*(3*MAX(0,MIN(1,(P133-$B$2)/($F$2-$B$2)))^2-2*MAX(0,MIN(1,(P133-$B$2)/($F$2-$B$2)))^3)))),MAX(0,MIN(1,T133+(V133-T133)*(3*W133^2-2*W133^3)))))</x:f>
        <x:v>#N/A</x:v>
      </x:c>
      <x:c r="P133" s="189" t="str">
        <x:f>A133</x:f>
      </x:c>
      <x:c r="Q133" t="n">
        <x:f>COUNT($G$7:$G$106)</x:f>
        <x:v>0</x:v>
      </x:c>
      <x:c r="R133" t="str">
        <x:f>IF(OR(P133="",$B$2="",$F$2="",P133&lt;$B$2,P133&gt;$F$2),"",IF(Q133=0,0,IF(P133&lt;$G$7,0,IF(P133&gt;=INDEX($G$7:$G$106,Q133),Q133,MATCH(P133,$G$7:$G$106,1)))))</x:f>
      </x:c>
      <x:c r="S133" t="str">
        <x:f>IF(R133="","",IF(R133=0,$B$2,INDEX($G$7:$G$106,R133)))</x:f>
      </x:c>
      <x:c r="T133" s="14" t="str">
        <x:f>IF(R133="","",IF(R133=0,0,INDEX($H$7:$H$106,R133)))</x:f>
      </x:c>
      <x:c r="U133" t="str">
        <x:f>IF(R133="","",IF(Q133=0,$F$2,IF(R133=0,$G$7,IF(R133&lt;Q133,INDEX($G$7:$G$106,R133+1),$F$2))))</x:f>
      </x:c>
      <x:c r="V133" s="14" t="str">
        <x:f>IF(R133="","",IF(Q133=0,$H$2,IF(R133=0,$H$7,IF(R133&lt;Q133,INDEX($H$7:$H$106,R133+1),$H$2))))</x:f>
      </x:c>
      <x:c r="W133" s="188" t="str">
        <x:f>IF(R133="","",IF(U133=S133,1,MAX(0,MIN(1,(P133-S133)/(U133-S133)))))</x:f>
      </x:c>
    </x:row>
    <x:row r="134">
      <x:c r="A134" s="159" t="str">
        <x:f>IF(OR(A133="",A133&gt;=$D$2),"",A133+1)</x:f>
      </x:c>
      <x:c r="B134" s="162" t="str">
        <x:f>IF(A134="","",IFERROR(SUMPRODUCT(--('Project Plan'!$A$7:$A$206&lt;&gt;""),('Project Plan'!$P$7:$P$206+('Project Plan'!$P$7:$P$206="")),--('Project Plan'!$F$7:$F$206&lt;&gt;""),--('Project Plan'!$G$7:$G$206&lt;&gt;""),((A134&gt;='Project Plan'!$G$7:$G$206)+((A134&gt;='Project Plan'!$F$7:$F$206)*(A134&lt;'Project Plan'!$G$7:$G$206)*(A134-'Project Plan'!$F$7:$F$206+1)/('Project Plan'!$G$7:$G$206-'Project Plan'!$F$7:$F$206+1))))/SUMPRODUCT(--('Project Plan'!$A$7:$A$206&lt;&gt;""),('Project Plan'!$P$7:$P$206+('Project Plan'!$P$7:$P$206=""))),0))</x:f>
      </x:c>
      <x:c r="C134" s="162" t="str">
        <x:f>IF(A134="","",IF(A134&gt;$F$2,"",IF(A134=$F$2,$H$2,IFERROR(LOOKUP(2,1/(($G$7:$G$106&lt;&gt;"")*($G$7:$G$106&lt;=A134)),$H$7:$H$106),""))))</x:f>
      </x:c>
      <x:c r="D134" s="162" t="str">
        <x:f>IF(C134="","",C134-B134)</x:f>
      </x:c>
      <x:c r="E134" s="163" t="str">
        <x:f>IF(D134="","",IF(D134&gt;=0,"On / Ahead",IF(D134&gt;=-0.05,"Watch","Behind")))</x:f>
      </x:c>
      <x:c r="J134"/>
      <x:c r="K134"/>
      <x:c r="L134"/>
      <x:c r="M134" t="str">
        <x:f>IF(A134="","",TEXT(A134,"mmm d"))</x:f>
      </x:c>
      <x:c r="N134" s="14" t="e">
        <x:f>IF(B134="",NA(),B134)</x:f>
        <x:v>#N/A</x:v>
      </x:c>
      <x:c r="O134" s="14" t="e">
        <x:f>IF(OR(P134="",$B$2="",$F$2="",P134&lt;$B$2,P134&gt;$F$2),NA(),IF(Q134=0,IF($F$2=$B$2,$H$2,MAX(0,MIN(1,$H$2*(3*MAX(0,MIN(1,(P134-$B$2)/($F$2-$B$2)))^2-2*MAX(0,MIN(1,(P134-$B$2)/($F$2-$B$2)))^3)))),MAX(0,MIN(1,T134+(V134-T134)*(3*W134^2-2*W134^3)))))</x:f>
        <x:v>#N/A</x:v>
      </x:c>
      <x:c r="P134" s="189" t="str">
        <x:f>A134</x:f>
      </x:c>
      <x:c r="Q134" t="n">
        <x:f>COUNT($G$7:$G$106)</x:f>
        <x:v>0</x:v>
      </x:c>
      <x:c r="R134" t="str">
        <x:f>IF(OR(P134="",$B$2="",$F$2="",P134&lt;$B$2,P134&gt;$F$2),"",IF(Q134=0,0,IF(P134&lt;$G$7,0,IF(P134&gt;=INDEX($G$7:$G$106,Q134),Q134,MATCH(P134,$G$7:$G$106,1)))))</x:f>
      </x:c>
      <x:c r="S134" t="str">
        <x:f>IF(R134="","",IF(R134=0,$B$2,INDEX($G$7:$G$106,R134)))</x:f>
      </x:c>
      <x:c r="T134" s="14" t="str">
        <x:f>IF(R134="","",IF(R134=0,0,INDEX($H$7:$H$106,R134)))</x:f>
      </x:c>
      <x:c r="U134" t="str">
        <x:f>IF(R134="","",IF(Q134=0,$F$2,IF(R134=0,$G$7,IF(R134&lt;Q134,INDEX($G$7:$G$106,R134+1),$F$2))))</x:f>
      </x:c>
      <x:c r="V134" s="14" t="str">
        <x:f>IF(R134="","",IF(Q134=0,$H$2,IF(R134=0,$H$7,IF(R134&lt;Q134,INDEX($H$7:$H$106,R134+1),$H$2))))</x:f>
      </x:c>
      <x:c r="W134" s="188" t="str">
        <x:f>IF(R134="","",IF(U134=S134,1,MAX(0,MIN(1,(P134-S134)/(U134-S134)))))</x:f>
      </x:c>
    </x:row>
    <x:row r="135">
      <x:c r="A135" s="159" t="str">
        <x:f>IF(OR(A134="",A134&gt;=$D$2),"",A134+1)</x:f>
      </x:c>
      <x:c r="B135" s="162" t="str">
        <x:f>IF(A135="","",IFERROR(SUMPRODUCT(--('Project Plan'!$A$7:$A$206&lt;&gt;""),('Project Plan'!$P$7:$P$206+('Project Plan'!$P$7:$P$206="")),--('Project Plan'!$F$7:$F$206&lt;&gt;""),--('Project Plan'!$G$7:$G$206&lt;&gt;""),((A135&gt;='Project Plan'!$G$7:$G$206)+((A135&gt;='Project Plan'!$F$7:$F$206)*(A135&lt;'Project Plan'!$G$7:$G$206)*(A135-'Project Plan'!$F$7:$F$206+1)/('Project Plan'!$G$7:$G$206-'Project Plan'!$F$7:$F$206+1))))/SUMPRODUCT(--('Project Plan'!$A$7:$A$206&lt;&gt;""),('Project Plan'!$P$7:$P$206+('Project Plan'!$P$7:$P$206=""))),0))</x:f>
      </x:c>
      <x:c r="C135" s="162" t="str">
        <x:f>IF(A135="","",IF(A135&gt;$F$2,"",IF(A135=$F$2,$H$2,IFERROR(LOOKUP(2,1/(($G$7:$G$106&lt;&gt;"")*($G$7:$G$106&lt;=A135)),$H$7:$H$106),""))))</x:f>
      </x:c>
      <x:c r="D135" s="162" t="str">
        <x:f>IF(C135="","",C135-B135)</x:f>
      </x:c>
      <x:c r="E135" s="163" t="str">
        <x:f>IF(D135="","",IF(D135&gt;=0,"On / Ahead",IF(D135&gt;=-0.05,"Watch","Behind")))</x:f>
      </x:c>
      <x:c r="J135"/>
      <x:c r="K135"/>
      <x:c r="L135"/>
      <x:c r="M135" t="str">
        <x:f>IF(A135="","",TEXT(A135,"mmm d"))</x:f>
      </x:c>
      <x:c r="N135" s="14" t="e">
        <x:f>IF(B135="",NA(),B135)</x:f>
        <x:v>#N/A</x:v>
      </x:c>
      <x:c r="O135" s="14" t="e">
        <x:f>IF(OR(P135="",$B$2="",$F$2="",P135&lt;$B$2,P135&gt;$F$2),NA(),IF(Q135=0,IF($F$2=$B$2,$H$2,MAX(0,MIN(1,$H$2*(3*MAX(0,MIN(1,(P135-$B$2)/($F$2-$B$2)))^2-2*MAX(0,MIN(1,(P135-$B$2)/($F$2-$B$2)))^3)))),MAX(0,MIN(1,T135+(V135-T135)*(3*W135^2-2*W135^3)))))</x:f>
        <x:v>#N/A</x:v>
      </x:c>
      <x:c r="P135" s="189" t="str">
        <x:f>A135</x:f>
      </x:c>
      <x:c r="Q135" t="n">
        <x:f>COUNT($G$7:$G$106)</x:f>
        <x:v>0</x:v>
      </x:c>
      <x:c r="R135" t="str">
        <x:f>IF(OR(P135="",$B$2="",$F$2="",P135&lt;$B$2,P135&gt;$F$2),"",IF(Q135=0,0,IF(P135&lt;$G$7,0,IF(P135&gt;=INDEX($G$7:$G$106,Q135),Q135,MATCH(P135,$G$7:$G$106,1)))))</x:f>
      </x:c>
      <x:c r="S135" t="str">
        <x:f>IF(R135="","",IF(R135=0,$B$2,INDEX($G$7:$G$106,R135)))</x:f>
      </x:c>
      <x:c r="T135" s="14" t="str">
        <x:f>IF(R135="","",IF(R135=0,0,INDEX($H$7:$H$106,R135)))</x:f>
      </x:c>
      <x:c r="U135" t="str">
        <x:f>IF(R135="","",IF(Q135=0,$F$2,IF(R135=0,$G$7,IF(R135&lt;Q135,INDEX($G$7:$G$106,R135+1),$F$2))))</x:f>
      </x:c>
      <x:c r="V135" s="14" t="str">
        <x:f>IF(R135="","",IF(Q135=0,$H$2,IF(R135=0,$H$7,IF(R135&lt;Q135,INDEX($H$7:$H$106,R135+1),$H$2))))</x:f>
      </x:c>
      <x:c r="W135" s="188" t="str">
        <x:f>IF(R135="","",IF(U135=S135,1,MAX(0,MIN(1,(P135-S135)/(U135-S135)))))</x:f>
      </x:c>
    </x:row>
    <x:row r="136">
      <x:c r="A136" s="159" t="str">
        <x:f>IF(OR(A135="",A135&gt;=$D$2),"",A135+1)</x:f>
      </x:c>
      <x:c r="B136" s="162" t="str">
        <x:f>IF(A136="","",IFERROR(SUMPRODUCT(--('Project Plan'!$A$7:$A$206&lt;&gt;""),('Project Plan'!$P$7:$P$206+('Project Plan'!$P$7:$P$206="")),--('Project Plan'!$F$7:$F$206&lt;&gt;""),--('Project Plan'!$G$7:$G$206&lt;&gt;""),((A136&gt;='Project Plan'!$G$7:$G$206)+((A136&gt;='Project Plan'!$F$7:$F$206)*(A136&lt;'Project Plan'!$G$7:$G$206)*(A136-'Project Plan'!$F$7:$F$206+1)/('Project Plan'!$G$7:$G$206-'Project Plan'!$F$7:$F$206+1))))/SUMPRODUCT(--('Project Plan'!$A$7:$A$206&lt;&gt;""),('Project Plan'!$P$7:$P$206+('Project Plan'!$P$7:$P$206=""))),0))</x:f>
      </x:c>
      <x:c r="C136" s="162" t="str">
        <x:f>IF(A136="","",IF(A136&gt;$F$2,"",IF(A136=$F$2,$H$2,IFERROR(LOOKUP(2,1/(($G$7:$G$106&lt;&gt;"")*($G$7:$G$106&lt;=A136)),$H$7:$H$106),""))))</x:f>
      </x:c>
      <x:c r="D136" s="162" t="str">
        <x:f>IF(C136="","",C136-B136)</x:f>
      </x:c>
      <x:c r="E136" s="163" t="str">
        <x:f>IF(D136="","",IF(D136&gt;=0,"On / Ahead",IF(D136&gt;=-0.05,"Watch","Behind")))</x:f>
      </x:c>
      <x:c r="J136"/>
      <x:c r="K136"/>
      <x:c r="L136"/>
      <x:c r="M136" t="str">
        <x:f>IF(A136="","",TEXT(A136,"mmm d"))</x:f>
      </x:c>
      <x:c r="N136" s="14" t="e">
        <x:f>IF(B136="",NA(),B136)</x:f>
        <x:v>#N/A</x:v>
      </x:c>
      <x:c r="O136" s="14" t="e">
        <x:f>IF(OR(P136="",$B$2="",$F$2="",P136&lt;$B$2,P136&gt;$F$2),NA(),IF(Q136=0,IF($F$2=$B$2,$H$2,MAX(0,MIN(1,$H$2*(3*MAX(0,MIN(1,(P136-$B$2)/($F$2-$B$2)))^2-2*MAX(0,MIN(1,(P136-$B$2)/($F$2-$B$2)))^3)))),MAX(0,MIN(1,T136+(V136-T136)*(3*W136^2-2*W136^3)))))</x:f>
        <x:v>#N/A</x:v>
      </x:c>
      <x:c r="P136" s="189" t="str">
        <x:f>A136</x:f>
      </x:c>
      <x:c r="Q136" t="n">
        <x:f>COUNT($G$7:$G$106)</x:f>
        <x:v>0</x:v>
      </x:c>
      <x:c r="R136" t="str">
        <x:f>IF(OR(P136="",$B$2="",$F$2="",P136&lt;$B$2,P136&gt;$F$2),"",IF(Q136=0,0,IF(P136&lt;$G$7,0,IF(P136&gt;=INDEX($G$7:$G$106,Q136),Q136,MATCH(P136,$G$7:$G$106,1)))))</x:f>
      </x:c>
      <x:c r="S136" t="str">
        <x:f>IF(R136="","",IF(R136=0,$B$2,INDEX($G$7:$G$106,R136)))</x:f>
      </x:c>
      <x:c r="T136" s="14" t="str">
        <x:f>IF(R136="","",IF(R136=0,0,INDEX($H$7:$H$106,R136)))</x:f>
      </x:c>
      <x:c r="U136" t="str">
        <x:f>IF(R136="","",IF(Q136=0,$F$2,IF(R136=0,$G$7,IF(R136&lt;Q136,INDEX($G$7:$G$106,R136+1),$F$2))))</x:f>
      </x:c>
      <x:c r="V136" s="14" t="str">
        <x:f>IF(R136="","",IF(Q136=0,$H$2,IF(R136=0,$H$7,IF(R136&lt;Q136,INDEX($H$7:$H$106,R136+1),$H$2))))</x:f>
      </x:c>
      <x:c r="W136" s="188" t="str">
        <x:f>IF(R136="","",IF(U136=S136,1,MAX(0,MIN(1,(P136-S136)/(U136-S136)))))</x:f>
      </x:c>
    </x:row>
    <x:row r="137">
      <x:c r="A137" s="159" t="str">
        <x:f>IF(OR(A136="",A136&gt;=$D$2),"",A136+1)</x:f>
      </x:c>
      <x:c r="B137" s="162" t="str">
        <x:f>IF(A137="","",IFERROR(SUMPRODUCT(--('Project Plan'!$A$7:$A$206&lt;&gt;""),('Project Plan'!$P$7:$P$206+('Project Plan'!$P$7:$P$206="")),--('Project Plan'!$F$7:$F$206&lt;&gt;""),--('Project Plan'!$G$7:$G$206&lt;&gt;""),((A137&gt;='Project Plan'!$G$7:$G$206)+((A137&gt;='Project Plan'!$F$7:$F$206)*(A137&lt;'Project Plan'!$G$7:$G$206)*(A137-'Project Plan'!$F$7:$F$206+1)/('Project Plan'!$G$7:$G$206-'Project Plan'!$F$7:$F$206+1))))/SUMPRODUCT(--('Project Plan'!$A$7:$A$206&lt;&gt;""),('Project Plan'!$P$7:$P$206+('Project Plan'!$P$7:$P$206=""))),0))</x:f>
      </x:c>
      <x:c r="C137" s="162" t="str">
        <x:f>IF(A137="","",IF(A137&gt;$F$2,"",IF(A137=$F$2,$H$2,IFERROR(LOOKUP(2,1/(($G$7:$G$106&lt;&gt;"")*($G$7:$G$106&lt;=A137)),$H$7:$H$106),""))))</x:f>
      </x:c>
      <x:c r="D137" s="162" t="str">
        <x:f>IF(C137="","",C137-B137)</x:f>
      </x:c>
      <x:c r="E137" s="163" t="str">
        <x:f>IF(D137="","",IF(D137&gt;=0,"On / Ahead",IF(D137&gt;=-0.05,"Watch","Behind")))</x:f>
      </x:c>
      <x:c r="J137"/>
      <x:c r="K137"/>
      <x:c r="L137"/>
      <x:c r="M137" t="str">
        <x:f>IF(A137="","",TEXT(A137,"mmm d"))</x:f>
      </x:c>
      <x:c r="N137" s="14" t="e">
        <x:f>IF(B137="",NA(),B137)</x:f>
        <x:v>#N/A</x:v>
      </x:c>
      <x:c r="O137" s="14" t="e">
        <x:f>IF(OR(P137="",$B$2="",$F$2="",P137&lt;$B$2,P137&gt;$F$2),NA(),IF(Q137=0,IF($F$2=$B$2,$H$2,MAX(0,MIN(1,$H$2*(3*MAX(0,MIN(1,(P137-$B$2)/($F$2-$B$2)))^2-2*MAX(0,MIN(1,(P137-$B$2)/($F$2-$B$2)))^3)))),MAX(0,MIN(1,T137+(V137-T137)*(3*W137^2-2*W137^3)))))</x:f>
        <x:v>#N/A</x:v>
      </x:c>
      <x:c r="P137" s="189" t="str">
        <x:f>A137</x:f>
      </x:c>
      <x:c r="Q137" t="n">
        <x:f>COUNT($G$7:$G$106)</x:f>
        <x:v>0</x:v>
      </x:c>
      <x:c r="R137" t="str">
        <x:f>IF(OR(P137="",$B$2="",$F$2="",P137&lt;$B$2,P137&gt;$F$2),"",IF(Q137=0,0,IF(P137&lt;$G$7,0,IF(P137&gt;=INDEX($G$7:$G$106,Q137),Q137,MATCH(P137,$G$7:$G$106,1)))))</x:f>
      </x:c>
      <x:c r="S137" t="str">
        <x:f>IF(R137="","",IF(R137=0,$B$2,INDEX($G$7:$G$106,R137)))</x:f>
      </x:c>
      <x:c r="T137" s="14" t="str">
        <x:f>IF(R137="","",IF(R137=0,0,INDEX($H$7:$H$106,R137)))</x:f>
      </x:c>
      <x:c r="U137" t="str">
        <x:f>IF(R137="","",IF(Q137=0,$F$2,IF(R137=0,$G$7,IF(R137&lt;Q137,INDEX($G$7:$G$106,R137+1),$F$2))))</x:f>
      </x:c>
      <x:c r="V137" s="14" t="str">
        <x:f>IF(R137="","",IF(Q137=0,$H$2,IF(R137=0,$H$7,IF(R137&lt;Q137,INDEX($H$7:$H$106,R137+1),$H$2))))</x:f>
      </x:c>
      <x:c r="W137" s="188" t="str">
        <x:f>IF(R137="","",IF(U137=S137,1,MAX(0,MIN(1,(P137-S137)/(U137-S137)))))</x:f>
      </x:c>
    </x:row>
    <x:row r="138">
      <x:c r="A138" s="159" t="str">
        <x:f>IF(OR(A137="",A137&gt;=$D$2),"",A137+1)</x:f>
      </x:c>
      <x:c r="B138" s="162" t="str">
        <x:f>IF(A138="","",IFERROR(SUMPRODUCT(--('Project Plan'!$A$7:$A$206&lt;&gt;""),('Project Plan'!$P$7:$P$206+('Project Plan'!$P$7:$P$206="")),--('Project Plan'!$F$7:$F$206&lt;&gt;""),--('Project Plan'!$G$7:$G$206&lt;&gt;""),((A138&gt;='Project Plan'!$G$7:$G$206)+((A138&gt;='Project Plan'!$F$7:$F$206)*(A138&lt;'Project Plan'!$G$7:$G$206)*(A138-'Project Plan'!$F$7:$F$206+1)/('Project Plan'!$G$7:$G$206-'Project Plan'!$F$7:$F$206+1))))/SUMPRODUCT(--('Project Plan'!$A$7:$A$206&lt;&gt;""),('Project Plan'!$P$7:$P$206+('Project Plan'!$P$7:$P$206=""))),0))</x:f>
      </x:c>
      <x:c r="C138" s="162" t="str">
        <x:f>IF(A138="","",IF(A138&gt;$F$2,"",IF(A138=$F$2,$H$2,IFERROR(LOOKUP(2,1/(($G$7:$G$106&lt;&gt;"")*($G$7:$G$106&lt;=A138)),$H$7:$H$106),""))))</x:f>
      </x:c>
      <x:c r="D138" s="162" t="str">
        <x:f>IF(C138="","",C138-B138)</x:f>
      </x:c>
      <x:c r="E138" s="163" t="str">
        <x:f>IF(D138="","",IF(D138&gt;=0,"On / Ahead",IF(D138&gt;=-0.05,"Watch","Behind")))</x:f>
      </x:c>
      <x:c r="J138"/>
      <x:c r="K138"/>
      <x:c r="L138"/>
      <x:c r="M138" t="str">
        <x:f>IF(A138="","",TEXT(A138,"mmm d"))</x:f>
      </x:c>
      <x:c r="N138" s="14" t="e">
        <x:f>IF(B138="",NA(),B138)</x:f>
        <x:v>#N/A</x:v>
      </x:c>
      <x:c r="O138" s="14" t="e">
        <x:f>IF(OR(P138="",$B$2="",$F$2="",P138&lt;$B$2,P138&gt;$F$2),NA(),IF(Q138=0,IF($F$2=$B$2,$H$2,MAX(0,MIN(1,$H$2*(3*MAX(0,MIN(1,(P138-$B$2)/($F$2-$B$2)))^2-2*MAX(0,MIN(1,(P138-$B$2)/($F$2-$B$2)))^3)))),MAX(0,MIN(1,T138+(V138-T138)*(3*W138^2-2*W138^3)))))</x:f>
        <x:v>#N/A</x:v>
      </x:c>
      <x:c r="P138" s="189" t="str">
        <x:f>A138</x:f>
      </x:c>
      <x:c r="Q138" t="n">
        <x:f>COUNT($G$7:$G$106)</x:f>
        <x:v>0</x:v>
      </x:c>
      <x:c r="R138" t="str">
        <x:f>IF(OR(P138="",$B$2="",$F$2="",P138&lt;$B$2,P138&gt;$F$2),"",IF(Q138=0,0,IF(P138&lt;$G$7,0,IF(P138&gt;=INDEX($G$7:$G$106,Q138),Q138,MATCH(P138,$G$7:$G$106,1)))))</x:f>
      </x:c>
      <x:c r="S138" t="str">
        <x:f>IF(R138="","",IF(R138=0,$B$2,INDEX($G$7:$G$106,R138)))</x:f>
      </x:c>
      <x:c r="T138" s="14" t="str">
        <x:f>IF(R138="","",IF(R138=0,0,INDEX($H$7:$H$106,R138)))</x:f>
      </x:c>
      <x:c r="U138" t="str">
        <x:f>IF(R138="","",IF(Q138=0,$F$2,IF(R138=0,$G$7,IF(R138&lt;Q138,INDEX($G$7:$G$106,R138+1),$F$2))))</x:f>
      </x:c>
      <x:c r="V138" s="14" t="str">
        <x:f>IF(R138="","",IF(Q138=0,$H$2,IF(R138=0,$H$7,IF(R138&lt;Q138,INDEX($H$7:$H$106,R138+1),$H$2))))</x:f>
      </x:c>
      <x:c r="W138" s="188" t="str">
        <x:f>IF(R138="","",IF(U138=S138,1,MAX(0,MIN(1,(P138-S138)/(U138-S138)))))</x:f>
      </x:c>
    </x:row>
    <x:row r="139">
      <x:c r="A139" s="159" t="str">
        <x:f>IF(OR(A138="",A138&gt;=$D$2),"",A138+1)</x:f>
      </x:c>
      <x:c r="B139" s="162" t="str">
        <x:f>IF(A139="","",IFERROR(SUMPRODUCT(--('Project Plan'!$A$7:$A$206&lt;&gt;""),('Project Plan'!$P$7:$P$206+('Project Plan'!$P$7:$P$206="")),--('Project Plan'!$F$7:$F$206&lt;&gt;""),--('Project Plan'!$G$7:$G$206&lt;&gt;""),((A139&gt;='Project Plan'!$G$7:$G$206)+((A139&gt;='Project Plan'!$F$7:$F$206)*(A139&lt;'Project Plan'!$G$7:$G$206)*(A139-'Project Plan'!$F$7:$F$206+1)/('Project Plan'!$G$7:$G$206-'Project Plan'!$F$7:$F$206+1))))/SUMPRODUCT(--('Project Plan'!$A$7:$A$206&lt;&gt;""),('Project Plan'!$P$7:$P$206+('Project Plan'!$P$7:$P$206=""))),0))</x:f>
      </x:c>
      <x:c r="C139" s="162" t="str">
        <x:f>IF(A139="","",IF(A139&gt;$F$2,"",IF(A139=$F$2,$H$2,IFERROR(LOOKUP(2,1/(($G$7:$G$106&lt;&gt;"")*($G$7:$G$106&lt;=A139)),$H$7:$H$106),""))))</x:f>
      </x:c>
      <x:c r="D139" s="162" t="str">
        <x:f>IF(C139="","",C139-B139)</x:f>
      </x:c>
      <x:c r="E139" s="163" t="str">
        <x:f>IF(D139="","",IF(D139&gt;=0,"On / Ahead",IF(D139&gt;=-0.05,"Watch","Behind")))</x:f>
      </x:c>
      <x:c r="J139"/>
      <x:c r="K139"/>
      <x:c r="L139"/>
      <x:c r="M139" t="str">
        <x:f>IF(A139="","",TEXT(A139,"mmm d"))</x:f>
      </x:c>
      <x:c r="N139" s="14" t="e">
        <x:f>IF(B139="",NA(),B139)</x:f>
        <x:v>#N/A</x:v>
      </x:c>
      <x:c r="O139" s="14" t="e">
        <x:f>IF(OR(P139="",$B$2="",$F$2="",P139&lt;$B$2,P139&gt;$F$2),NA(),IF(Q139=0,IF($F$2=$B$2,$H$2,MAX(0,MIN(1,$H$2*(3*MAX(0,MIN(1,(P139-$B$2)/($F$2-$B$2)))^2-2*MAX(0,MIN(1,(P139-$B$2)/($F$2-$B$2)))^3)))),MAX(0,MIN(1,T139+(V139-T139)*(3*W139^2-2*W139^3)))))</x:f>
        <x:v>#N/A</x:v>
      </x:c>
      <x:c r="P139" s="189" t="str">
        <x:f>A139</x:f>
      </x:c>
      <x:c r="Q139" t="n">
        <x:f>COUNT($G$7:$G$106)</x:f>
        <x:v>0</x:v>
      </x:c>
      <x:c r="R139" t="str">
        <x:f>IF(OR(P139="",$B$2="",$F$2="",P139&lt;$B$2,P139&gt;$F$2),"",IF(Q139=0,0,IF(P139&lt;$G$7,0,IF(P139&gt;=INDEX($G$7:$G$106,Q139),Q139,MATCH(P139,$G$7:$G$106,1)))))</x:f>
      </x:c>
      <x:c r="S139" t="str">
        <x:f>IF(R139="","",IF(R139=0,$B$2,INDEX($G$7:$G$106,R139)))</x:f>
      </x:c>
      <x:c r="T139" s="14" t="str">
        <x:f>IF(R139="","",IF(R139=0,0,INDEX($H$7:$H$106,R139)))</x:f>
      </x:c>
      <x:c r="U139" t="str">
        <x:f>IF(R139="","",IF(Q139=0,$F$2,IF(R139=0,$G$7,IF(R139&lt;Q139,INDEX($G$7:$G$106,R139+1),$F$2))))</x:f>
      </x:c>
      <x:c r="V139" s="14" t="str">
        <x:f>IF(R139="","",IF(Q139=0,$H$2,IF(R139=0,$H$7,IF(R139&lt;Q139,INDEX($H$7:$H$106,R139+1),$H$2))))</x:f>
      </x:c>
      <x:c r="W139" s="188" t="str">
        <x:f>IF(R139="","",IF(U139=S139,1,MAX(0,MIN(1,(P139-S139)/(U139-S139)))))</x:f>
      </x:c>
    </x:row>
    <x:row r="140">
      <x:c r="A140" s="159" t="str">
        <x:f>IF(OR(A139="",A139&gt;=$D$2),"",A139+1)</x:f>
      </x:c>
      <x:c r="B140" s="162" t="str">
        <x:f>IF(A140="","",IFERROR(SUMPRODUCT(--('Project Plan'!$A$7:$A$206&lt;&gt;""),('Project Plan'!$P$7:$P$206+('Project Plan'!$P$7:$P$206="")),--('Project Plan'!$F$7:$F$206&lt;&gt;""),--('Project Plan'!$G$7:$G$206&lt;&gt;""),((A140&gt;='Project Plan'!$G$7:$G$206)+((A140&gt;='Project Plan'!$F$7:$F$206)*(A140&lt;'Project Plan'!$G$7:$G$206)*(A140-'Project Plan'!$F$7:$F$206+1)/('Project Plan'!$G$7:$G$206-'Project Plan'!$F$7:$F$206+1))))/SUMPRODUCT(--('Project Plan'!$A$7:$A$206&lt;&gt;""),('Project Plan'!$P$7:$P$206+('Project Plan'!$P$7:$P$206=""))),0))</x:f>
      </x:c>
      <x:c r="C140" s="162" t="str">
        <x:f>IF(A140="","",IF(A140&gt;$F$2,"",IF(A140=$F$2,$H$2,IFERROR(LOOKUP(2,1/(($G$7:$G$106&lt;&gt;"")*($G$7:$G$106&lt;=A140)),$H$7:$H$106),""))))</x:f>
      </x:c>
      <x:c r="D140" s="162" t="str">
        <x:f>IF(C140="","",C140-B140)</x:f>
      </x:c>
      <x:c r="E140" s="163" t="str">
        <x:f>IF(D140="","",IF(D140&gt;=0,"On / Ahead",IF(D140&gt;=-0.05,"Watch","Behind")))</x:f>
      </x:c>
      <x:c r="J140"/>
      <x:c r="K140"/>
      <x:c r="L140"/>
      <x:c r="M140" t="str">
        <x:f>IF(A140="","",TEXT(A140,"mmm d"))</x:f>
      </x:c>
      <x:c r="N140" s="14" t="e">
        <x:f>IF(B140="",NA(),B140)</x:f>
        <x:v>#N/A</x:v>
      </x:c>
      <x:c r="O140" s="14" t="e">
        <x:f>IF(OR(P140="",$B$2="",$F$2="",P140&lt;$B$2,P140&gt;$F$2),NA(),IF(Q140=0,IF($F$2=$B$2,$H$2,MAX(0,MIN(1,$H$2*(3*MAX(0,MIN(1,(P140-$B$2)/($F$2-$B$2)))^2-2*MAX(0,MIN(1,(P140-$B$2)/($F$2-$B$2)))^3)))),MAX(0,MIN(1,T140+(V140-T140)*(3*W140^2-2*W140^3)))))</x:f>
        <x:v>#N/A</x:v>
      </x:c>
      <x:c r="P140" s="189" t="str">
        <x:f>A140</x:f>
      </x:c>
      <x:c r="Q140" t="n">
        <x:f>COUNT($G$7:$G$106)</x:f>
        <x:v>0</x:v>
      </x:c>
      <x:c r="R140" t="str">
        <x:f>IF(OR(P140="",$B$2="",$F$2="",P140&lt;$B$2,P140&gt;$F$2),"",IF(Q140=0,0,IF(P140&lt;$G$7,0,IF(P140&gt;=INDEX($G$7:$G$106,Q140),Q140,MATCH(P140,$G$7:$G$106,1)))))</x:f>
      </x:c>
      <x:c r="S140" t="str">
        <x:f>IF(R140="","",IF(R140=0,$B$2,INDEX($G$7:$G$106,R140)))</x:f>
      </x:c>
      <x:c r="T140" s="14" t="str">
        <x:f>IF(R140="","",IF(R140=0,0,INDEX($H$7:$H$106,R140)))</x:f>
      </x:c>
      <x:c r="U140" t="str">
        <x:f>IF(R140="","",IF(Q140=0,$F$2,IF(R140=0,$G$7,IF(R140&lt;Q140,INDEX($G$7:$G$106,R140+1),$F$2))))</x:f>
      </x:c>
      <x:c r="V140" s="14" t="str">
        <x:f>IF(R140="","",IF(Q140=0,$H$2,IF(R140=0,$H$7,IF(R140&lt;Q140,INDEX($H$7:$H$106,R140+1),$H$2))))</x:f>
      </x:c>
      <x:c r="W140" s="188" t="str">
        <x:f>IF(R140="","",IF(U140=S140,1,MAX(0,MIN(1,(P140-S140)/(U140-S140)))))</x:f>
      </x:c>
    </x:row>
    <x:row r="141">
      <x:c r="A141" s="159" t="str">
        <x:f>IF(OR(A140="",A140&gt;=$D$2),"",A140+1)</x:f>
      </x:c>
      <x:c r="B141" s="162" t="str">
        <x:f>IF(A141="","",IFERROR(SUMPRODUCT(--('Project Plan'!$A$7:$A$206&lt;&gt;""),('Project Plan'!$P$7:$P$206+('Project Plan'!$P$7:$P$206="")),--('Project Plan'!$F$7:$F$206&lt;&gt;""),--('Project Plan'!$G$7:$G$206&lt;&gt;""),((A141&gt;='Project Plan'!$G$7:$G$206)+((A141&gt;='Project Plan'!$F$7:$F$206)*(A141&lt;'Project Plan'!$G$7:$G$206)*(A141-'Project Plan'!$F$7:$F$206+1)/('Project Plan'!$G$7:$G$206-'Project Plan'!$F$7:$F$206+1))))/SUMPRODUCT(--('Project Plan'!$A$7:$A$206&lt;&gt;""),('Project Plan'!$P$7:$P$206+('Project Plan'!$P$7:$P$206=""))),0))</x:f>
      </x:c>
      <x:c r="C141" s="162" t="str">
        <x:f>IF(A141="","",IF(A141&gt;$F$2,"",IF(A141=$F$2,$H$2,IFERROR(LOOKUP(2,1/(($G$7:$G$106&lt;&gt;"")*($G$7:$G$106&lt;=A141)),$H$7:$H$106),""))))</x:f>
      </x:c>
      <x:c r="D141" s="162" t="str">
        <x:f>IF(C141="","",C141-B141)</x:f>
      </x:c>
      <x:c r="E141" s="163" t="str">
        <x:f>IF(D141="","",IF(D141&gt;=0,"On / Ahead",IF(D141&gt;=-0.05,"Watch","Behind")))</x:f>
      </x:c>
      <x:c r="J141"/>
      <x:c r="K141"/>
      <x:c r="L141"/>
      <x:c r="M141" t="str">
        <x:f>IF(A141="","",TEXT(A141,"mmm d"))</x:f>
      </x:c>
      <x:c r="N141" s="14" t="e">
        <x:f>IF(B141="",NA(),B141)</x:f>
        <x:v>#N/A</x:v>
      </x:c>
      <x:c r="O141" s="14" t="e">
        <x:f>IF(OR(P141="",$B$2="",$F$2="",P141&lt;$B$2,P141&gt;$F$2),NA(),IF(Q141=0,IF($F$2=$B$2,$H$2,MAX(0,MIN(1,$H$2*(3*MAX(0,MIN(1,(P141-$B$2)/($F$2-$B$2)))^2-2*MAX(0,MIN(1,(P141-$B$2)/($F$2-$B$2)))^3)))),MAX(0,MIN(1,T141+(V141-T141)*(3*W141^2-2*W141^3)))))</x:f>
        <x:v>#N/A</x:v>
      </x:c>
      <x:c r="P141" s="189" t="str">
        <x:f>A141</x:f>
      </x:c>
      <x:c r="Q141" t="n">
        <x:f>COUNT($G$7:$G$106)</x:f>
        <x:v>0</x:v>
      </x:c>
      <x:c r="R141" t="str">
        <x:f>IF(OR(P141="",$B$2="",$F$2="",P141&lt;$B$2,P141&gt;$F$2),"",IF(Q141=0,0,IF(P141&lt;$G$7,0,IF(P141&gt;=INDEX($G$7:$G$106,Q141),Q141,MATCH(P141,$G$7:$G$106,1)))))</x:f>
      </x:c>
      <x:c r="S141" t="str">
        <x:f>IF(R141="","",IF(R141=0,$B$2,INDEX($G$7:$G$106,R141)))</x:f>
      </x:c>
      <x:c r="T141" s="14" t="str">
        <x:f>IF(R141="","",IF(R141=0,0,INDEX($H$7:$H$106,R141)))</x:f>
      </x:c>
      <x:c r="U141" t="str">
        <x:f>IF(R141="","",IF(Q141=0,$F$2,IF(R141=0,$G$7,IF(R141&lt;Q141,INDEX($G$7:$G$106,R141+1),$F$2))))</x:f>
      </x:c>
      <x:c r="V141" s="14" t="str">
        <x:f>IF(R141="","",IF(Q141=0,$H$2,IF(R141=0,$H$7,IF(R141&lt;Q141,INDEX($H$7:$H$106,R141+1),$H$2))))</x:f>
      </x:c>
      <x:c r="W141" s="188" t="str">
        <x:f>IF(R141="","",IF(U141=S141,1,MAX(0,MIN(1,(P141-S141)/(U141-S141)))))</x:f>
      </x:c>
    </x:row>
    <x:row r="142">
      <x:c r="A142" s="159" t="str">
        <x:f>IF(OR(A141="",A141&gt;=$D$2),"",A141+1)</x:f>
      </x:c>
      <x:c r="B142" s="162" t="str">
        <x:f>IF(A142="","",IFERROR(SUMPRODUCT(--('Project Plan'!$A$7:$A$206&lt;&gt;""),('Project Plan'!$P$7:$P$206+('Project Plan'!$P$7:$P$206="")),--('Project Plan'!$F$7:$F$206&lt;&gt;""),--('Project Plan'!$G$7:$G$206&lt;&gt;""),((A142&gt;='Project Plan'!$G$7:$G$206)+((A142&gt;='Project Plan'!$F$7:$F$206)*(A142&lt;'Project Plan'!$G$7:$G$206)*(A142-'Project Plan'!$F$7:$F$206+1)/('Project Plan'!$G$7:$G$206-'Project Plan'!$F$7:$F$206+1))))/SUMPRODUCT(--('Project Plan'!$A$7:$A$206&lt;&gt;""),('Project Plan'!$P$7:$P$206+('Project Plan'!$P$7:$P$206=""))),0))</x:f>
      </x:c>
      <x:c r="C142" s="162" t="str">
        <x:f>IF(A142="","",IF(A142&gt;$F$2,"",IF(A142=$F$2,$H$2,IFERROR(LOOKUP(2,1/(($G$7:$G$106&lt;&gt;"")*($G$7:$G$106&lt;=A142)),$H$7:$H$106),""))))</x:f>
      </x:c>
      <x:c r="D142" s="162" t="str">
        <x:f>IF(C142="","",C142-B142)</x:f>
      </x:c>
      <x:c r="E142" s="163" t="str">
        <x:f>IF(D142="","",IF(D142&gt;=0,"On / Ahead",IF(D142&gt;=-0.05,"Watch","Behind")))</x:f>
      </x:c>
      <x:c r="J142"/>
      <x:c r="K142"/>
      <x:c r="L142"/>
      <x:c r="M142" t="str">
        <x:f>IF(A142="","",TEXT(A142,"mmm d"))</x:f>
      </x:c>
      <x:c r="N142" s="14" t="e">
        <x:f>IF(B142="",NA(),B142)</x:f>
        <x:v>#N/A</x:v>
      </x:c>
      <x:c r="O142" s="14" t="e">
        <x:f>IF(OR(P142="",$B$2="",$F$2="",P142&lt;$B$2,P142&gt;$F$2),NA(),IF(Q142=0,IF($F$2=$B$2,$H$2,MAX(0,MIN(1,$H$2*(3*MAX(0,MIN(1,(P142-$B$2)/($F$2-$B$2)))^2-2*MAX(0,MIN(1,(P142-$B$2)/($F$2-$B$2)))^3)))),MAX(0,MIN(1,T142+(V142-T142)*(3*W142^2-2*W142^3)))))</x:f>
        <x:v>#N/A</x:v>
      </x:c>
      <x:c r="P142" s="189" t="str">
        <x:f>A142</x:f>
      </x:c>
      <x:c r="Q142" t="n">
        <x:f>COUNT($G$7:$G$106)</x:f>
        <x:v>0</x:v>
      </x:c>
      <x:c r="R142" t="str">
        <x:f>IF(OR(P142="",$B$2="",$F$2="",P142&lt;$B$2,P142&gt;$F$2),"",IF(Q142=0,0,IF(P142&lt;$G$7,0,IF(P142&gt;=INDEX($G$7:$G$106,Q142),Q142,MATCH(P142,$G$7:$G$106,1)))))</x:f>
      </x:c>
      <x:c r="S142" t="str">
        <x:f>IF(R142="","",IF(R142=0,$B$2,INDEX($G$7:$G$106,R142)))</x:f>
      </x:c>
      <x:c r="T142" s="14" t="str">
        <x:f>IF(R142="","",IF(R142=0,0,INDEX($H$7:$H$106,R142)))</x:f>
      </x:c>
      <x:c r="U142" t="str">
        <x:f>IF(R142="","",IF(Q142=0,$F$2,IF(R142=0,$G$7,IF(R142&lt;Q142,INDEX($G$7:$G$106,R142+1),$F$2))))</x:f>
      </x:c>
      <x:c r="V142" s="14" t="str">
        <x:f>IF(R142="","",IF(Q142=0,$H$2,IF(R142=0,$H$7,IF(R142&lt;Q142,INDEX($H$7:$H$106,R142+1),$H$2))))</x:f>
      </x:c>
      <x:c r="W142" s="188" t="str">
        <x:f>IF(R142="","",IF(U142=S142,1,MAX(0,MIN(1,(P142-S142)/(U142-S142)))))</x:f>
      </x:c>
    </x:row>
    <x:row r="143">
      <x:c r="A143" s="159" t="str">
        <x:f>IF(OR(A142="",A142&gt;=$D$2),"",A142+1)</x:f>
      </x:c>
      <x:c r="B143" s="162" t="str">
        <x:f>IF(A143="","",IFERROR(SUMPRODUCT(--('Project Plan'!$A$7:$A$206&lt;&gt;""),('Project Plan'!$P$7:$P$206+('Project Plan'!$P$7:$P$206="")),--('Project Plan'!$F$7:$F$206&lt;&gt;""),--('Project Plan'!$G$7:$G$206&lt;&gt;""),((A143&gt;='Project Plan'!$G$7:$G$206)+((A143&gt;='Project Plan'!$F$7:$F$206)*(A143&lt;'Project Plan'!$G$7:$G$206)*(A143-'Project Plan'!$F$7:$F$206+1)/('Project Plan'!$G$7:$G$206-'Project Plan'!$F$7:$F$206+1))))/SUMPRODUCT(--('Project Plan'!$A$7:$A$206&lt;&gt;""),('Project Plan'!$P$7:$P$206+('Project Plan'!$P$7:$P$206=""))),0))</x:f>
      </x:c>
      <x:c r="C143" s="162" t="str">
        <x:f>IF(A143="","",IF(A143&gt;$F$2,"",IF(A143=$F$2,$H$2,IFERROR(LOOKUP(2,1/(($G$7:$G$106&lt;&gt;"")*($G$7:$G$106&lt;=A143)),$H$7:$H$106),""))))</x:f>
      </x:c>
      <x:c r="D143" s="162" t="str">
        <x:f>IF(C143="","",C143-B143)</x:f>
      </x:c>
      <x:c r="E143" s="163" t="str">
        <x:f>IF(D143="","",IF(D143&gt;=0,"On / Ahead",IF(D143&gt;=-0.05,"Watch","Behind")))</x:f>
      </x:c>
      <x:c r="J143"/>
      <x:c r="K143"/>
      <x:c r="L143"/>
      <x:c r="M143" t="str">
        <x:f>IF(A143="","",TEXT(A143,"mmm d"))</x:f>
      </x:c>
      <x:c r="N143" s="14" t="e">
        <x:f>IF(B143="",NA(),B143)</x:f>
        <x:v>#N/A</x:v>
      </x:c>
      <x:c r="O143" s="14" t="e">
        <x:f>IF(OR(P143="",$B$2="",$F$2="",P143&lt;$B$2,P143&gt;$F$2),NA(),IF(Q143=0,IF($F$2=$B$2,$H$2,MAX(0,MIN(1,$H$2*(3*MAX(0,MIN(1,(P143-$B$2)/($F$2-$B$2)))^2-2*MAX(0,MIN(1,(P143-$B$2)/($F$2-$B$2)))^3)))),MAX(0,MIN(1,T143+(V143-T143)*(3*W143^2-2*W143^3)))))</x:f>
        <x:v>#N/A</x:v>
      </x:c>
      <x:c r="P143" s="189" t="str">
        <x:f>A143</x:f>
      </x:c>
      <x:c r="Q143" t="n">
        <x:f>COUNT($G$7:$G$106)</x:f>
        <x:v>0</x:v>
      </x:c>
      <x:c r="R143" t="str">
        <x:f>IF(OR(P143="",$B$2="",$F$2="",P143&lt;$B$2,P143&gt;$F$2),"",IF(Q143=0,0,IF(P143&lt;$G$7,0,IF(P143&gt;=INDEX($G$7:$G$106,Q143),Q143,MATCH(P143,$G$7:$G$106,1)))))</x:f>
      </x:c>
      <x:c r="S143" t="str">
        <x:f>IF(R143="","",IF(R143=0,$B$2,INDEX($G$7:$G$106,R143)))</x:f>
      </x:c>
      <x:c r="T143" s="14" t="str">
        <x:f>IF(R143="","",IF(R143=0,0,INDEX($H$7:$H$106,R143)))</x:f>
      </x:c>
      <x:c r="U143" t="str">
        <x:f>IF(R143="","",IF(Q143=0,$F$2,IF(R143=0,$G$7,IF(R143&lt;Q143,INDEX($G$7:$G$106,R143+1),$F$2))))</x:f>
      </x:c>
      <x:c r="V143" s="14" t="str">
        <x:f>IF(R143="","",IF(Q143=0,$H$2,IF(R143=0,$H$7,IF(R143&lt;Q143,INDEX($H$7:$H$106,R143+1),$H$2))))</x:f>
      </x:c>
      <x:c r="W143" s="188" t="str">
        <x:f>IF(R143="","",IF(U143=S143,1,MAX(0,MIN(1,(P143-S143)/(U143-S143)))))</x:f>
      </x:c>
    </x:row>
    <x:row r="144">
      <x:c r="A144" s="159" t="str">
        <x:f>IF(OR(A143="",A143&gt;=$D$2),"",A143+1)</x:f>
      </x:c>
      <x:c r="B144" s="162" t="str">
        <x:f>IF(A144="","",IFERROR(SUMPRODUCT(--('Project Plan'!$A$7:$A$206&lt;&gt;""),('Project Plan'!$P$7:$P$206+('Project Plan'!$P$7:$P$206="")),--('Project Plan'!$F$7:$F$206&lt;&gt;""),--('Project Plan'!$G$7:$G$206&lt;&gt;""),((A144&gt;='Project Plan'!$G$7:$G$206)+((A144&gt;='Project Plan'!$F$7:$F$206)*(A144&lt;'Project Plan'!$G$7:$G$206)*(A144-'Project Plan'!$F$7:$F$206+1)/('Project Plan'!$G$7:$G$206-'Project Plan'!$F$7:$F$206+1))))/SUMPRODUCT(--('Project Plan'!$A$7:$A$206&lt;&gt;""),('Project Plan'!$P$7:$P$206+('Project Plan'!$P$7:$P$206=""))),0))</x:f>
      </x:c>
      <x:c r="C144" s="162" t="str">
        <x:f>IF(A144="","",IF(A144&gt;$F$2,"",IF(A144=$F$2,$H$2,IFERROR(LOOKUP(2,1/(($G$7:$G$106&lt;&gt;"")*($G$7:$G$106&lt;=A144)),$H$7:$H$106),""))))</x:f>
      </x:c>
      <x:c r="D144" s="162" t="str">
        <x:f>IF(C144="","",C144-B144)</x:f>
      </x:c>
      <x:c r="E144" s="163" t="str">
        <x:f>IF(D144="","",IF(D144&gt;=0,"On / Ahead",IF(D144&gt;=-0.05,"Watch","Behind")))</x:f>
      </x:c>
      <x:c r="J144"/>
      <x:c r="K144"/>
      <x:c r="L144"/>
      <x:c r="M144" t="str">
        <x:f>IF(A144="","",TEXT(A144,"mmm d"))</x:f>
      </x:c>
      <x:c r="N144" s="14" t="e">
        <x:f>IF(B144="",NA(),B144)</x:f>
        <x:v>#N/A</x:v>
      </x:c>
      <x:c r="O144" s="14" t="e">
        <x:f>IF(OR(P144="",$B$2="",$F$2="",P144&lt;$B$2,P144&gt;$F$2),NA(),IF(Q144=0,IF($F$2=$B$2,$H$2,MAX(0,MIN(1,$H$2*(3*MAX(0,MIN(1,(P144-$B$2)/($F$2-$B$2)))^2-2*MAX(0,MIN(1,(P144-$B$2)/($F$2-$B$2)))^3)))),MAX(0,MIN(1,T144+(V144-T144)*(3*W144^2-2*W144^3)))))</x:f>
        <x:v>#N/A</x:v>
      </x:c>
      <x:c r="P144" s="189" t="str">
        <x:f>A144</x:f>
      </x:c>
      <x:c r="Q144" t="n">
        <x:f>COUNT($G$7:$G$106)</x:f>
        <x:v>0</x:v>
      </x:c>
      <x:c r="R144" t="str">
        <x:f>IF(OR(P144="",$B$2="",$F$2="",P144&lt;$B$2,P144&gt;$F$2),"",IF(Q144=0,0,IF(P144&lt;$G$7,0,IF(P144&gt;=INDEX($G$7:$G$106,Q144),Q144,MATCH(P144,$G$7:$G$106,1)))))</x:f>
      </x:c>
      <x:c r="S144" t="str">
        <x:f>IF(R144="","",IF(R144=0,$B$2,INDEX($G$7:$G$106,R144)))</x:f>
      </x:c>
      <x:c r="T144" s="14" t="str">
        <x:f>IF(R144="","",IF(R144=0,0,INDEX($H$7:$H$106,R144)))</x:f>
      </x:c>
      <x:c r="U144" t="str">
        <x:f>IF(R144="","",IF(Q144=0,$F$2,IF(R144=0,$G$7,IF(R144&lt;Q144,INDEX($G$7:$G$106,R144+1),$F$2))))</x:f>
      </x:c>
      <x:c r="V144" s="14" t="str">
        <x:f>IF(R144="","",IF(Q144=0,$H$2,IF(R144=0,$H$7,IF(R144&lt;Q144,INDEX($H$7:$H$106,R144+1),$H$2))))</x:f>
      </x:c>
      <x:c r="W144" s="188" t="str">
        <x:f>IF(R144="","",IF(U144=S144,1,MAX(0,MIN(1,(P144-S144)/(U144-S144)))))</x:f>
      </x:c>
    </x:row>
    <x:row r="145">
      <x:c r="A145" s="159" t="str">
        <x:f>IF(OR(A144="",A144&gt;=$D$2),"",A144+1)</x:f>
      </x:c>
      <x:c r="B145" s="162" t="str">
        <x:f>IF(A145="","",IFERROR(SUMPRODUCT(--('Project Plan'!$A$7:$A$206&lt;&gt;""),('Project Plan'!$P$7:$P$206+('Project Plan'!$P$7:$P$206="")),--('Project Plan'!$F$7:$F$206&lt;&gt;""),--('Project Plan'!$G$7:$G$206&lt;&gt;""),((A145&gt;='Project Plan'!$G$7:$G$206)+((A145&gt;='Project Plan'!$F$7:$F$206)*(A145&lt;'Project Plan'!$G$7:$G$206)*(A145-'Project Plan'!$F$7:$F$206+1)/('Project Plan'!$G$7:$G$206-'Project Plan'!$F$7:$F$206+1))))/SUMPRODUCT(--('Project Plan'!$A$7:$A$206&lt;&gt;""),('Project Plan'!$P$7:$P$206+('Project Plan'!$P$7:$P$206=""))),0))</x:f>
      </x:c>
      <x:c r="C145" s="162" t="str">
        <x:f>IF(A145="","",IF(A145&gt;$F$2,"",IF(A145=$F$2,$H$2,IFERROR(LOOKUP(2,1/(($G$7:$G$106&lt;&gt;"")*($G$7:$G$106&lt;=A145)),$H$7:$H$106),""))))</x:f>
      </x:c>
      <x:c r="D145" s="162" t="str">
        <x:f>IF(C145="","",C145-B145)</x:f>
      </x:c>
      <x:c r="E145" s="163" t="str">
        <x:f>IF(D145="","",IF(D145&gt;=0,"On / Ahead",IF(D145&gt;=-0.05,"Watch","Behind")))</x:f>
      </x:c>
      <x:c r="J145"/>
      <x:c r="K145"/>
      <x:c r="L145"/>
      <x:c r="M145" t="str">
        <x:f>IF(A145="","",TEXT(A145,"mmm d"))</x:f>
      </x:c>
      <x:c r="N145" s="14" t="e">
        <x:f>IF(B145="",NA(),B145)</x:f>
        <x:v>#N/A</x:v>
      </x:c>
      <x:c r="O145" s="14" t="e">
        <x:f>IF(OR(P145="",$B$2="",$F$2="",P145&lt;$B$2,P145&gt;$F$2),NA(),IF(Q145=0,IF($F$2=$B$2,$H$2,MAX(0,MIN(1,$H$2*(3*MAX(0,MIN(1,(P145-$B$2)/($F$2-$B$2)))^2-2*MAX(0,MIN(1,(P145-$B$2)/($F$2-$B$2)))^3)))),MAX(0,MIN(1,T145+(V145-T145)*(3*W145^2-2*W145^3)))))</x:f>
        <x:v>#N/A</x:v>
      </x:c>
      <x:c r="P145" s="189" t="str">
        <x:f>A145</x:f>
      </x:c>
      <x:c r="Q145" t="n">
        <x:f>COUNT($G$7:$G$106)</x:f>
        <x:v>0</x:v>
      </x:c>
      <x:c r="R145" t="str">
        <x:f>IF(OR(P145="",$B$2="",$F$2="",P145&lt;$B$2,P145&gt;$F$2),"",IF(Q145=0,0,IF(P145&lt;$G$7,0,IF(P145&gt;=INDEX($G$7:$G$106,Q145),Q145,MATCH(P145,$G$7:$G$106,1)))))</x:f>
      </x:c>
      <x:c r="S145" t="str">
        <x:f>IF(R145="","",IF(R145=0,$B$2,INDEX($G$7:$G$106,R145)))</x:f>
      </x:c>
      <x:c r="T145" s="14" t="str">
        <x:f>IF(R145="","",IF(R145=0,0,INDEX($H$7:$H$106,R145)))</x:f>
      </x:c>
      <x:c r="U145" t="str">
        <x:f>IF(R145="","",IF(Q145=0,$F$2,IF(R145=0,$G$7,IF(R145&lt;Q145,INDEX($G$7:$G$106,R145+1),$F$2))))</x:f>
      </x:c>
      <x:c r="V145" s="14" t="str">
        <x:f>IF(R145="","",IF(Q145=0,$H$2,IF(R145=0,$H$7,IF(R145&lt;Q145,INDEX($H$7:$H$106,R145+1),$H$2))))</x:f>
      </x:c>
      <x:c r="W145" s="188" t="str">
        <x:f>IF(R145="","",IF(U145=S145,1,MAX(0,MIN(1,(P145-S145)/(U145-S145)))))</x:f>
      </x:c>
    </x:row>
    <x:row r="146">
      <x:c r="A146" s="159" t="str">
        <x:f>IF(OR(A145="",A145&gt;=$D$2),"",A145+1)</x:f>
      </x:c>
      <x:c r="B146" s="162" t="str">
        <x:f>IF(A146="","",IFERROR(SUMPRODUCT(--('Project Plan'!$A$7:$A$206&lt;&gt;""),('Project Plan'!$P$7:$P$206+('Project Plan'!$P$7:$P$206="")),--('Project Plan'!$F$7:$F$206&lt;&gt;""),--('Project Plan'!$G$7:$G$206&lt;&gt;""),((A146&gt;='Project Plan'!$G$7:$G$206)+((A146&gt;='Project Plan'!$F$7:$F$206)*(A146&lt;'Project Plan'!$G$7:$G$206)*(A146-'Project Plan'!$F$7:$F$206+1)/('Project Plan'!$G$7:$G$206-'Project Plan'!$F$7:$F$206+1))))/SUMPRODUCT(--('Project Plan'!$A$7:$A$206&lt;&gt;""),('Project Plan'!$P$7:$P$206+('Project Plan'!$P$7:$P$206=""))),0))</x:f>
      </x:c>
      <x:c r="C146" s="162" t="str">
        <x:f>IF(A146="","",IF(A146&gt;$F$2,"",IF(A146=$F$2,$H$2,IFERROR(LOOKUP(2,1/(($G$7:$G$106&lt;&gt;"")*($G$7:$G$106&lt;=A146)),$H$7:$H$106),""))))</x:f>
      </x:c>
      <x:c r="D146" s="162" t="str">
        <x:f>IF(C146="","",C146-B146)</x:f>
      </x:c>
      <x:c r="E146" s="163" t="str">
        <x:f>IF(D146="","",IF(D146&gt;=0,"On / Ahead",IF(D146&gt;=-0.05,"Watch","Behind")))</x:f>
      </x:c>
      <x:c r="J146"/>
      <x:c r="K146"/>
      <x:c r="L146"/>
      <x:c r="M146" t="str">
        <x:f>IF(A146="","",TEXT(A146,"mmm d"))</x:f>
      </x:c>
      <x:c r="N146" s="14" t="e">
        <x:f>IF(B146="",NA(),B146)</x:f>
        <x:v>#N/A</x:v>
      </x:c>
      <x:c r="O146" s="14" t="e">
        <x:f>IF(OR(P146="",$B$2="",$F$2="",P146&lt;$B$2,P146&gt;$F$2),NA(),IF(Q146=0,IF($F$2=$B$2,$H$2,MAX(0,MIN(1,$H$2*(3*MAX(0,MIN(1,(P146-$B$2)/($F$2-$B$2)))^2-2*MAX(0,MIN(1,(P146-$B$2)/($F$2-$B$2)))^3)))),MAX(0,MIN(1,T146+(V146-T146)*(3*W146^2-2*W146^3)))))</x:f>
        <x:v>#N/A</x:v>
      </x:c>
      <x:c r="P146" s="189" t="str">
        <x:f>A146</x:f>
      </x:c>
      <x:c r="Q146" t="n">
        <x:f>COUNT($G$7:$G$106)</x:f>
        <x:v>0</x:v>
      </x:c>
      <x:c r="R146" t="str">
        <x:f>IF(OR(P146="",$B$2="",$F$2="",P146&lt;$B$2,P146&gt;$F$2),"",IF(Q146=0,0,IF(P146&lt;$G$7,0,IF(P146&gt;=INDEX($G$7:$G$106,Q146),Q146,MATCH(P146,$G$7:$G$106,1)))))</x:f>
      </x:c>
      <x:c r="S146" t="str">
        <x:f>IF(R146="","",IF(R146=0,$B$2,INDEX($G$7:$G$106,R146)))</x:f>
      </x:c>
      <x:c r="T146" s="14" t="str">
        <x:f>IF(R146="","",IF(R146=0,0,INDEX($H$7:$H$106,R146)))</x:f>
      </x:c>
      <x:c r="U146" t="str">
        <x:f>IF(R146="","",IF(Q146=0,$F$2,IF(R146=0,$G$7,IF(R146&lt;Q146,INDEX($G$7:$G$106,R146+1),$F$2))))</x:f>
      </x:c>
      <x:c r="V146" s="14" t="str">
        <x:f>IF(R146="","",IF(Q146=0,$H$2,IF(R146=0,$H$7,IF(R146&lt;Q146,INDEX($H$7:$H$106,R146+1),$H$2))))</x:f>
      </x:c>
      <x:c r="W146" s="188" t="str">
        <x:f>IF(R146="","",IF(U146=S146,1,MAX(0,MIN(1,(P146-S146)/(U146-S146)))))</x:f>
      </x:c>
    </x:row>
    <x:row r="147">
      <x:c r="A147" s="159" t="str">
        <x:f>IF(OR(A146="",A146&gt;=$D$2),"",A146+1)</x:f>
      </x:c>
      <x:c r="B147" s="162" t="str">
        <x:f>IF(A147="","",IFERROR(SUMPRODUCT(--('Project Plan'!$A$7:$A$206&lt;&gt;""),('Project Plan'!$P$7:$P$206+('Project Plan'!$P$7:$P$206="")),--('Project Plan'!$F$7:$F$206&lt;&gt;""),--('Project Plan'!$G$7:$G$206&lt;&gt;""),((A147&gt;='Project Plan'!$G$7:$G$206)+((A147&gt;='Project Plan'!$F$7:$F$206)*(A147&lt;'Project Plan'!$G$7:$G$206)*(A147-'Project Plan'!$F$7:$F$206+1)/('Project Plan'!$G$7:$G$206-'Project Plan'!$F$7:$F$206+1))))/SUMPRODUCT(--('Project Plan'!$A$7:$A$206&lt;&gt;""),('Project Plan'!$P$7:$P$206+('Project Plan'!$P$7:$P$206=""))),0))</x:f>
      </x:c>
      <x:c r="C147" s="162" t="str">
        <x:f>IF(A147="","",IF(A147&gt;$F$2,"",IF(A147=$F$2,$H$2,IFERROR(LOOKUP(2,1/(($G$7:$G$106&lt;&gt;"")*($G$7:$G$106&lt;=A147)),$H$7:$H$106),""))))</x:f>
      </x:c>
      <x:c r="D147" s="162" t="str">
        <x:f>IF(C147="","",C147-B147)</x:f>
      </x:c>
      <x:c r="E147" s="163" t="str">
        <x:f>IF(D147="","",IF(D147&gt;=0,"On / Ahead",IF(D147&gt;=-0.05,"Watch","Behind")))</x:f>
      </x:c>
      <x:c r="J147"/>
      <x:c r="K147"/>
      <x:c r="L147"/>
      <x:c r="M147" t="str">
        <x:f>IF(A147="","",TEXT(A147,"mmm d"))</x:f>
      </x:c>
      <x:c r="N147" s="14" t="e">
        <x:f>IF(B147="",NA(),B147)</x:f>
        <x:v>#N/A</x:v>
      </x:c>
      <x:c r="O147" s="14" t="e">
        <x:f>IF(OR(P147="",$B$2="",$F$2="",P147&lt;$B$2,P147&gt;$F$2),NA(),IF(Q147=0,IF($F$2=$B$2,$H$2,MAX(0,MIN(1,$H$2*(3*MAX(0,MIN(1,(P147-$B$2)/($F$2-$B$2)))^2-2*MAX(0,MIN(1,(P147-$B$2)/($F$2-$B$2)))^3)))),MAX(0,MIN(1,T147+(V147-T147)*(3*W147^2-2*W147^3)))))</x:f>
        <x:v>#N/A</x:v>
      </x:c>
      <x:c r="P147" s="189" t="str">
        <x:f>A147</x:f>
      </x:c>
      <x:c r="Q147" t="n">
        <x:f>COUNT($G$7:$G$106)</x:f>
        <x:v>0</x:v>
      </x:c>
      <x:c r="R147" t="str">
        <x:f>IF(OR(P147="",$B$2="",$F$2="",P147&lt;$B$2,P147&gt;$F$2),"",IF(Q147=0,0,IF(P147&lt;$G$7,0,IF(P147&gt;=INDEX($G$7:$G$106,Q147),Q147,MATCH(P147,$G$7:$G$106,1)))))</x:f>
      </x:c>
      <x:c r="S147" t="str">
        <x:f>IF(R147="","",IF(R147=0,$B$2,INDEX($G$7:$G$106,R147)))</x:f>
      </x:c>
      <x:c r="T147" s="14" t="str">
        <x:f>IF(R147="","",IF(R147=0,0,INDEX($H$7:$H$106,R147)))</x:f>
      </x:c>
      <x:c r="U147" t="str">
        <x:f>IF(R147="","",IF(Q147=0,$F$2,IF(R147=0,$G$7,IF(R147&lt;Q147,INDEX($G$7:$G$106,R147+1),$F$2))))</x:f>
      </x:c>
      <x:c r="V147" s="14" t="str">
        <x:f>IF(R147="","",IF(Q147=0,$H$2,IF(R147=0,$H$7,IF(R147&lt;Q147,INDEX($H$7:$H$106,R147+1),$H$2))))</x:f>
      </x:c>
      <x:c r="W147" s="188" t="str">
        <x:f>IF(R147="","",IF(U147=S147,1,MAX(0,MIN(1,(P147-S147)/(U147-S147)))))</x:f>
      </x:c>
    </x:row>
    <x:row r="148">
      <x:c r="A148" s="159" t="str">
        <x:f>IF(OR(A147="",A147&gt;=$D$2),"",A147+1)</x:f>
      </x:c>
      <x:c r="B148" s="162" t="str">
        <x:f>IF(A148="","",IFERROR(SUMPRODUCT(--('Project Plan'!$A$7:$A$206&lt;&gt;""),('Project Plan'!$P$7:$P$206+('Project Plan'!$P$7:$P$206="")),--('Project Plan'!$F$7:$F$206&lt;&gt;""),--('Project Plan'!$G$7:$G$206&lt;&gt;""),((A148&gt;='Project Plan'!$G$7:$G$206)+((A148&gt;='Project Plan'!$F$7:$F$206)*(A148&lt;'Project Plan'!$G$7:$G$206)*(A148-'Project Plan'!$F$7:$F$206+1)/('Project Plan'!$G$7:$G$206-'Project Plan'!$F$7:$F$206+1))))/SUMPRODUCT(--('Project Plan'!$A$7:$A$206&lt;&gt;""),('Project Plan'!$P$7:$P$206+('Project Plan'!$P$7:$P$206=""))),0))</x:f>
      </x:c>
      <x:c r="C148" s="162" t="str">
        <x:f>IF(A148="","",IF(A148&gt;$F$2,"",IF(A148=$F$2,$H$2,IFERROR(LOOKUP(2,1/(($G$7:$G$106&lt;&gt;"")*($G$7:$G$106&lt;=A148)),$H$7:$H$106),""))))</x:f>
      </x:c>
      <x:c r="D148" s="162" t="str">
        <x:f>IF(C148="","",C148-B148)</x:f>
      </x:c>
      <x:c r="E148" s="163" t="str">
        <x:f>IF(D148="","",IF(D148&gt;=0,"On / Ahead",IF(D148&gt;=-0.05,"Watch","Behind")))</x:f>
      </x:c>
      <x:c r="J148"/>
      <x:c r="K148"/>
      <x:c r="L148"/>
      <x:c r="M148" t="str">
        <x:f>IF(A148="","",TEXT(A148,"mmm d"))</x:f>
      </x:c>
      <x:c r="N148" s="14" t="e">
        <x:f>IF(B148="",NA(),B148)</x:f>
        <x:v>#N/A</x:v>
      </x:c>
      <x:c r="O148" s="14" t="e">
        <x:f>IF(OR(P148="",$B$2="",$F$2="",P148&lt;$B$2,P148&gt;$F$2),NA(),IF(Q148=0,IF($F$2=$B$2,$H$2,MAX(0,MIN(1,$H$2*(3*MAX(0,MIN(1,(P148-$B$2)/($F$2-$B$2)))^2-2*MAX(0,MIN(1,(P148-$B$2)/($F$2-$B$2)))^3)))),MAX(0,MIN(1,T148+(V148-T148)*(3*W148^2-2*W148^3)))))</x:f>
        <x:v>#N/A</x:v>
      </x:c>
      <x:c r="P148" s="189" t="str">
        <x:f>A148</x:f>
      </x:c>
      <x:c r="Q148" t="n">
        <x:f>COUNT($G$7:$G$106)</x:f>
        <x:v>0</x:v>
      </x:c>
      <x:c r="R148" t="str">
        <x:f>IF(OR(P148="",$B$2="",$F$2="",P148&lt;$B$2,P148&gt;$F$2),"",IF(Q148=0,0,IF(P148&lt;$G$7,0,IF(P148&gt;=INDEX($G$7:$G$106,Q148),Q148,MATCH(P148,$G$7:$G$106,1)))))</x:f>
      </x:c>
      <x:c r="S148" t="str">
        <x:f>IF(R148="","",IF(R148=0,$B$2,INDEX($G$7:$G$106,R148)))</x:f>
      </x:c>
      <x:c r="T148" s="14" t="str">
        <x:f>IF(R148="","",IF(R148=0,0,INDEX($H$7:$H$106,R148)))</x:f>
      </x:c>
      <x:c r="U148" t="str">
        <x:f>IF(R148="","",IF(Q148=0,$F$2,IF(R148=0,$G$7,IF(R148&lt;Q148,INDEX($G$7:$G$106,R148+1),$F$2))))</x:f>
      </x:c>
      <x:c r="V148" s="14" t="str">
        <x:f>IF(R148="","",IF(Q148=0,$H$2,IF(R148=0,$H$7,IF(R148&lt;Q148,INDEX($H$7:$H$106,R148+1),$H$2))))</x:f>
      </x:c>
      <x:c r="W148" s="188" t="str">
        <x:f>IF(R148="","",IF(U148=S148,1,MAX(0,MIN(1,(P148-S148)/(U148-S148)))))</x:f>
      </x:c>
    </x:row>
    <x:row r="149">
      <x:c r="A149" s="159" t="str">
        <x:f>IF(OR(A148="",A148&gt;=$D$2),"",A148+1)</x:f>
      </x:c>
      <x:c r="B149" s="162" t="str">
        <x:f>IF(A149="","",IFERROR(SUMPRODUCT(--('Project Plan'!$A$7:$A$206&lt;&gt;""),('Project Plan'!$P$7:$P$206+('Project Plan'!$P$7:$P$206="")),--('Project Plan'!$F$7:$F$206&lt;&gt;""),--('Project Plan'!$G$7:$G$206&lt;&gt;""),((A149&gt;='Project Plan'!$G$7:$G$206)+((A149&gt;='Project Plan'!$F$7:$F$206)*(A149&lt;'Project Plan'!$G$7:$G$206)*(A149-'Project Plan'!$F$7:$F$206+1)/('Project Plan'!$G$7:$G$206-'Project Plan'!$F$7:$F$206+1))))/SUMPRODUCT(--('Project Plan'!$A$7:$A$206&lt;&gt;""),('Project Plan'!$P$7:$P$206+('Project Plan'!$P$7:$P$206=""))),0))</x:f>
      </x:c>
      <x:c r="C149" s="162" t="str">
        <x:f>IF(A149="","",IF(A149&gt;$F$2,"",IF(A149=$F$2,$H$2,IFERROR(LOOKUP(2,1/(($G$7:$G$106&lt;&gt;"")*($G$7:$G$106&lt;=A149)),$H$7:$H$106),""))))</x:f>
      </x:c>
      <x:c r="D149" s="162" t="str">
        <x:f>IF(C149="","",C149-B149)</x:f>
      </x:c>
      <x:c r="E149" s="163" t="str">
        <x:f>IF(D149="","",IF(D149&gt;=0,"On / Ahead",IF(D149&gt;=-0.05,"Watch","Behind")))</x:f>
      </x:c>
      <x:c r="J149"/>
      <x:c r="K149"/>
      <x:c r="L149"/>
      <x:c r="M149" t="str">
        <x:f>IF(A149="","",TEXT(A149,"mmm d"))</x:f>
      </x:c>
      <x:c r="N149" s="14" t="e">
        <x:f>IF(B149="",NA(),B149)</x:f>
        <x:v>#N/A</x:v>
      </x:c>
      <x:c r="O149" s="14" t="e">
        <x:f>IF(OR(P149="",$B$2="",$F$2="",P149&lt;$B$2,P149&gt;$F$2),NA(),IF(Q149=0,IF($F$2=$B$2,$H$2,MAX(0,MIN(1,$H$2*(3*MAX(0,MIN(1,(P149-$B$2)/($F$2-$B$2)))^2-2*MAX(0,MIN(1,(P149-$B$2)/($F$2-$B$2)))^3)))),MAX(0,MIN(1,T149+(V149-T149)*(3*W149^2-2*W149^3)))))</x:f>
        <x:v>#N/A</x:v>
      </x:c>
      <x:c r="P149" s="189" t="str">
        <x:f>A149</x:f>
      </x:c>
      <x:c r="Q149" t="n">
        <x:f>COUNT($G$7:$G$106)</x:f>
        <x:v>0</x:v>
      </x:c>
      <x:c r="R149" t="str">
        <x:f>IF(OR(P149="",$B$2="",$F$2="",P149&lt;$B$2,P149&gt;$F$2),"",IF(Q149=0,0,IF(P149&lt;$G$7,0,IF(P149&gt;=INDEX($G$7:$G$106,Q149),Q149,MATCH(P149,$G$7:$G$106,1)))))</x:f>
      </x:c>
      <x:c r="S149" t="str">
        <x:f>IF(R149="","",IF(R149=0,$B$2,INDEX($G$7:$G$106,R149)))</x:f>
      </x:c>
      <x:c r="T149" s="14" t="str">
        <x:f>IF(R149="","",IF(R149=0,0,INDEX($H$7:$H$106,R149)))</x:f>
      </x:c>
      <x:c r="U149" t="str">
        <x:f>IF(R149="","",IF(Q149=0,$F$2,IF(R149=0,$G$7,IF(R149&lt;Q149,INDEX($G$7:$G$106,R149+1),$F$2))))</x:f>
      </x:c>
      <x:c r="V149" s="14" t="str">
        <x:f>IF(R149="","",IF(Q149=0,$H$2,IF(R149=0,$H$7,IF(R149&lt;Q149,INDEX($H$7:$H$106,R149+1),$H$2))))</x:f>
      </x:c>
      <x:c r="W149" s="188" t="str">
        <x:f>IF(R149="","",IF(U149=S149,1,MAX(0,MIN(1,(P149-S149)/(U149-S149)))))</x:f>
      </x:c>
    </x:row>
    <x:row r="150">
      <x:c r="A150" s="159" t="str">
        <x:f>IF(OR(A149="",A149&gt;=$D$2),"",A149+1)</x:f>
      </x:c>
      <x:c r="B150" s="162" t="str">
        <x:f>IF(A150="","",IFERROR(SUMPRODUCT(--('Project Plan'!$A$7:$A$206&lt;&gt;""),('Project Plan'!$P$7:$P$206+('Project Plan'!$P$7:$P$206="")),--('Project Plan'!$F$7:$F$206&lt;&gt;""),--('Project Plan'!$G$7:$G$206&lt;&gt;""),((A150&gt;='Project Plan'!$G$7:$G$206)+((A150&gt;='Project Plan'!$F$7:$F$206)*(A150&lt;'Project Plan'!$G$7:$G$206)*(A150-'Project Plan'!$F$7:$F$206+1)/('Project Plan'!$G$7:$G$206-'Project Plan'!$F$7:$F$206+1))))/SUMPRODUCT(--('Project Plan'!$A$7:$A$206&lt;&gt;""),('Project Plan'!$P$7:$P$206+('Project Plan'!$P$7:$P$206=""))),0))</x:f>
      </x:c>
      <x:c r="C150" s="162" t="str">
        <x:f>IF(A150="","",IF(A150&gt;$F$2,"",IF(A150=$F$2,$H$2,IFERROR(LOOKUP(2,1/(($G$7:$G$106&lt;&gt;"")*($G$7:$G$106&lt;=A150)),$H$7:$H$106),""))))</x:f>
      </x:c>
      <x:c r="D150" s="162" t="str">
        <x:f>IF(C150="","",C150-B150)</x:f>
      </x:c>
      <x:c r="E150" s="163" t="str">
        <x:f>IF(D150="","",IF(D150&gt;=0,"On / Ahead",IF(D150&gt;=-0.05,"Watch","Behind")))</x:f>
      </x:c>
      <x:c r="J150"/>
      <x:c r="K150"/>
      <x:c r="L150"/>
      <x:c r="M150" t="str">
        <x:f>IF(A150="","",TEXT(A150,"mmm d"))</x:f>
      </x:c>
      <x:c r="N150" s="14" t="e">
        <x:f>IF(B150="",NA(),B150)</x:f>
        <x:v>#N/A</x:v>
      </x:c>
      <x:c r="O150" s="14" t="e">
        <x:f>IF(OR(P150="",$B$2="",$F$2="",P150&lt;$B$2,P150&gt;$F$2),NA(),IF(Q150=0,IF($F$2=$B$2,$H$2,MAX(0,MIN(1,$H$2*(3*MAX(0,MIN(1,(P150-$B$2)/($F$2-$B$2)))^2-2*MAX(0,MIN(1,(P150-$B$2)/($F$2-$B$2)))^3)))),MAX(0,MIN(1,T150+(V150-T150)*(3*W150^2-2*W150^3)))))</x:f>
        <x:v>#N/A</x:v>
      </x:c>
      <x:c r="P150" s="189" t="str">
        <x:f>A150</x:f>
      </x:c>
      <x:c r="Q150" t="n">
        <x:f>COUNT($G$7:$G$106)</x:f>
        <x:v>0</x:v>
      </x:c>
      <x:c r="R150" t="str">
        <x:f>IF(OR(P150="",$B$2="",$F$2="",P150&lt;$B$2,P150&gt;$F$2),"",IF(Q150=0,0,IF(P150&lt;$G$7,0,IF(P150&gt;=INDEX($G$7:$G$106,Q150),Q150,MATCH(P150,$G$7:$G$106,1)))))</x:f>
      </x:c>
      <x:c r="S150" t="str">
        <x:f>IF(R150="","",IF(R150=0,$B$2,INDEX($G$7:$G$106,R150)))</x:f>
      </x:c>
      <x:c r="T150" s="14" t="str">
        <x:f>IF(R150="","",IF(R150=0,0,INDEX($H$7:$H$106,R150)))</x:f>
      </x:c>
      <x:c r="U150" t="str">
        <x:f>IF(R150="","",IF(Q150=0,$F$2,IF(R150=0,$G$7,IF(R150&lt;Q150,INDEX($G$7:$G$106,R150+1),$F$2))))</x:f>
      </x:c>
      <x:c r="V150" s="14" t="str">
        <x:f>IF(R150="","",IF(Q150=0,$H$2,IF(R150=0,$H$7,IF(R150&lt;Q150,INDEX($H$7:$H$106,R150+1),$H$2))))</x:f>
      </x:c>
      <x:c r="W150" s="188" t="str">
        <x:f>IF(R150="","",IF(U150=S150,1,MAX(0,MIN(1,(P150-S150)/(U150-S150)))))</x:f>
      </x:c>
    </x:row>
    <x:row r="151">
      <x:c r="A151" s="159" t="str">
        <x:f>IF(OR(A150="",A150&gt;=$D$2),"",A150+1)</x:f>
      </x:c>
      <x:c r="B151" s="162" t="str">
        <x:f>IF(A151="","",IFERROR(SUMPRODUCT(--('Project Plan'!$A$7:$A$206&lt;&gt;""),('Project Plan'!$P$7:$P$206+('Project Plan'!$P$7:$P$206="")),--('Project Plan'!$F$7:$F$206&lt;&gt;""),--('Project Plan'!$G$7:$G$206&lt;&gt;""),((A151&gt;='Project Plan'!$G$7:$G$206)+((A151&gt;='Project Plan'!$F$7:$F$206)*(A151&lt;'Project Plan'!$G$7:$G$206)*(A151-'Project Plan'!$F$7:$F$206+1)/('Project Plan'!$G$7:$G$206-'Project Plan'!$F$7:$F$206+1))))/SUMPRODUCT(--('Project Plan'!$A$7:$A$206&lt;&gt;""),('Project Plan'!$P$7:$P$206+('Project Plan'!$P$7:$P$206=""))),0))</x:f>
      </x:c>
      <x:c r="C151" s="162" t="str">
        <x:f>IF(A151="","",IF(A151&gt;$F$2,"",IF(A151=$F$2,$H$2,IFERROR(LOOKUP(2,1/(($G$7:$G$106&lt;&gt;"")*($G$7:$G$106&lt;=A151)),$H$7:$H$106),""))))</x:f>
      </x:c>
      <x:c r="D151" s="162" t="str">
        <x:f>IF(C151="","",C151-B151)</x:f>
      </x:c>
      <x:c r="E151" s="163" t="str">
        <x:f>IF(D151="","",IF(D151&gt;=0,"On / Ahead",IF(D151&gt;=-0.05,"Watch","Behind")))</x:f>
      </x:c>
      <x:c r="J151"/>
      <x:c r="K151"/>
      <x:c r="L151"/>
      <x:c r="M151" t="str">
        <x:f>IF(A151="","",TEXT(A151,"mmm d"))</x:f>
      </x:c>
      <x:c r="N151" s="14" t="e">
        <x:f>IF(B151="",NA(),B151)</x:f>
        <x:v>#N/A</x:v>
      </x:c>
      <x:c r="O151" s="14" t="e">
        <x:f>IF(OR(P151="",$B$2="",$F$2="",P151&lt;$B$2,P151&gt;$F$2),NA(),IF(Q151=0,IF($F$2=$B$2,$H$2,MAX(0,MIN(1,$H$2*(3*MAX(0,MIN(1,(P151-$B$2)/($F$2-$B$2)))^2-2*MAX(0,MIN(1,(P151-$B$2)/($F$2-$B$2)))^3)))),MAX(0,MIN(1,T151+(V151-T151)*(3*W151^2-2*W151^3)))))</x:f>
        <x:v>#N/A</x:v>
      </x:c>
      <x:c r="P151" s="189" t="str">
        <x:f>A151</x:f>
      </x:c>
      <x:c r="Q151" t="n">
        <x:f>COUNT($G$7:$G$106)</x:f>
        <x:v>0</x:v>
      </x:c>
      <x:c r="R151" t="str">
        <x:f>IF(OR(P151="",$B$2="",$F$2="",P151&lt;$B$2,P151&gt;$F$2),"",IF(Q151=0,0,IF(P151&lt;$G$7,0,IF(P151&gt;=INDEX($G$7:$G$106,Q151),Q151,MATCH(P151,$G$7:$G$106,1)))))</x:f>
      </x:c>
      <x:c r="S151" t="str">
        <x:f>IF(R151="","",IF(R151=0,$B$2,INDEX($G$7:$G$106,R151)))</x:f>
      </x:c>
      <x:c r="T151" s="14" t="str">
        <x:f>IF(R151="","",IF(R151=0,0,INDEX($H$7:$H$106,R151)))</x:f>
      </x:c>
      <x:c r="U151" t="str">
        <x:f>IF(R151="","",IF(Q151=0,$F$2,IF(R151=0,$G$7,IF(R151&lt;Q151,INDEX($G$7:$G$106,R151+1),$F$2))))</x:f>
      </x:c>
      <x:c r="V151" s="14" t="str">
        <x:f>IF(R151="","",IF(Q151=0,$H$2,IF(R151=0,$H$7,IF(R151&lt;Q151,INDEX($H$7:$H$106,R151+1),$H$2))))</x:f>
      </x:c>
      <x:c r="W151" s="188" t="str">
        <x:f>IF(R151="","",IF(U151=S151,1,MAX(0,MIN(1,(P151-S151)/(U151-S151)))))</x:f>
      </x:c>
    </x:row>
    <x:row r="152">
      <x:c r="A152" s="159" t="str">
        <x:f>IF(OR(A151="",A151&gt;=$D$2),"",A151+1)</x:f>
      </x:c>
      <x:c r="B152" s="162" t="str">
        <x:f>IF(A152="","",IFERROR(SUMPRODUCT(--('Project Plan'!$A$7:$A$206&lt;&gt;""),('Project Plan'!$P$7:$P$206+('Project Plan'!$P$7:$P$206="")),--('Project Plan'!$F$7:$F$206&lt;&gt;""),--('Project Plan'!$G$7:$G$206&lt;&gt;""),((A152&gt;='Project Plan'!$G$7:$G$206)+((A152&gt;='Project Plan'!$F$7:$F$206)*(A152&lt;'Project Plan'!$G$7:$G$206)*(A152-'Project Plan'!$F$7:$F$206+1)/('Project Plan'!$G$7:$G$206-'Project Plan'!$F$7:$F$206+1))))/SUMPRODUCT(--('Project Plan'!$A$7:$A$206&lt;&gt;""),('Project Plan'!$P$7:$P$206+('Project Plan'!$P$7:$P$206=""))),0))</x:f>
      </x:c>
      <x:c r="C152" s="162" t="str">
        <x:f>IF(A152="","",IF(A152&gt;$F$2,"",IF(A152=$F$2,$H$2,IFERROR(LOOKUP(2,1/(($G$7:$G$106&lt;&gt;"")*($G$7:$G$106&lt;=A152)),$H$7:$H$106),""))))</x:f>
      </x:c>
      <x:c r="D152" s="162" t="str">
        <x:f>IF(C152="","",C152-B152)</x:f>
      </x:c>
      <x:c r="E152" s="163" t="str">
        <x:f>IF(D152="","",IF(D152&gt;=0,"On / Ahead",IF(D152&gt;=-0.05,"Watch","Behind")))</x:f>
      </x:c>
      <x:c r="J152"/>
      <x:c r="K152"/>
      <x:c r="L152"/>
      <x:c r="M152" t="str">
        <x:f>IF(A152="","",TEXT(A152,"mmm d"))</x:f>
      </x:c>
      <x:c r="N152" s="14" t="e">
        <x:f>IF(B152="",NA(),B152)</x:f>
        <x:v>#N/A</x:v>
      </x:c>
      <x:c r="O152" s="14" t="e">
        <x:f>IF(OR(P152="",$B$2="",$F$2="",P152&lt;$B$2,P152&gt;$F$2),NA(),IF(Q152=0,IF($F$2=$B$2,$H$2,MAX(0,MIN(1,$H$2*(3*MAX(0,MIN(1,(P152-$B$2)/($F$2-$B$2)))^2-2*MAX(0,MIN(1,(P152-$B$2)/($F$2-$B$2)))^3)))),MAX(0,MIN(1,T152+(V152-T152)*(3*W152^2-2*W152^3)))))</x:f>
        <x:v>#N/A</x:v>
      </x:c>
      <x:c r="P152" s="189" t="str">
        <x:f>A152</x:f>
      </x:c>
      <x:c r="Q152" t="n">
        <x:f>COUNT($G$7:$G$106)</x:f>
        <x:v>0</x:v>
      </x:c>
      <x:c r="R152" t="str">
        <x:f>IF(OR(P152="",$B$2="",$F$2="",P152&lt;$B$2,P152&gt;$F$2),"",IF(Q152=0,0,IF(P152&lt;$G$7,0,IF(P152&gt;=INDEX($G$7:$G$106,Q152),Q152,MATCH(P152,$G$7:$G$106,1)))))</x:f>
      </x:c>
      <x:c r="S152" t="str">
        <x:f>IF(R152="","",IF(R152=0,$B$2,INDEX($G$7:$G$106,R152)))</x:f>
      </x:c>
      <x:c r="T152" s="14" t="str">
        <x:f>IF(R152="","",IF(R152=0,0,INDEX($H$7:$H$106,R152)))</x:f>
      </x:c>
      <x:c r="U152" t="str">
        <x:f>IF(R152="","",IF(Q152=0,$F$2,IF(R152=0,$G$7,IF(R152&lt;Q152,INDEX($G$7:$G$106,R152+1),$F$2))))</x:f>
      </x:c>
      <x:c r="V152" s="14" t="str">
        <x:f>IF(R152="","",IF(Q152=0,$H$2,IF(R152=0,$H$7,IF(R152&lt;Q152,INDEX($H$7:$H$106,R152+1),$H$2))))</x:f>
      </x:c>
      <x:c r="W152" s="188" t="str">
        <x:f>IF(R152="","",IF(U152=S152,1,MAX(0,MIN(1,(P152-S152)/(U152-S152)))))</x:f>
      </x:c>
    </x:row>
    <x:row r="153">
      <x:c r="A153" s="159" t="str">
        <x:f>IF(OR(A152="",A152&gt;=$D$2),"",A152+1)</x:f>
      </x:c>
      <x:c r="B153" s="162" t="str">
        <x:f>IF(A153="","",IFERROR(SUMPRODUCT(--('Project Plan'!$A$7:$A$206&lt;&gt;""),('Project Plan'!$P$7:$P$206+('Project Plan'!$P$7:$P$206="")),--('Project Plan'!$F$7:$F$206&lt;&gt;""),--('Project Plan'!$G$7:$G$206&lt;&gt;""),((A153&gt;='Project Plan'!$G$7:$G$206)+((A153&gt;='Project Plan'!$F$7:$F$206)*(A153&lt;'Project Plan'!$G$7:$G$206)*(A153-'Project Plan'!$F$7:$F$206+1)/('Project Plan'!$G$7:$G$206-'Project Plan'!$F$7:$F$206+1))))/SUMPRODUCT(--('Project Plan'!$A$7:$A$206&lt;&gt;""),('Project Plan'!$P$7:$P$206+('Project Plan'!$P$7:$P$206=""))),0))</x:f>
      </x:c>
      <x:c r="C153" s="162" t="str">
        <x:f>IF(A153="","",IF(A153&gt;$F$2,"",IF(A153=$F$2,$H$2,IFERROR(LOOKUP(2,1/(($G$7:$G$106&lt;&gt;"")*($G$7:$G$106&lt;=A153)),$H$7:$H$106),""))))</x:f>
      </x:c>
      <x:c r="D153" s="162" t="str">
        <x:f>IF(C153="","",C153-B153)</x:f>
      </x:c>
      <x:c r="E153" s="163" t="str">
        <x:f>IF(D153="","",IF(D153&gt;=0,"On / Ahead",IF(D153&gt;=-0.05,"Watch","Behind")))</x:f>
      </x:c>
      <x:c r="J153"/>
      <x:c r="K153"/>
      <x:c r="L153"/>
      <x:c r="M153" t="str">
        <x:f>IF(A153="","",TEXT(A153,"mmm d"))</x:f>
      </x:c>
      <x:c r="N153" s="14" t="e">
        <x:f>IF(B153="",NA(),B153)</x:f>
        <x:v>#N/A</x:v>
      </x:c>
      <x:c r="O153" s="14" t="e">
        <x:f>IF(OR(P153="",$B$2="",$F$2="",P153&lt;$B$2,P153&gt;$F$2),NA(),IF(Q153=0,IF($F$2=$B$2,$H$2,MAX(0,MIN(1,$H$2*(3*MAX(0,MIN(1,(P153-$B$2)/($F$2-$B$2)))^2-2*MAX(0,MIN(1,(P153-$B$2)/($F$2-$B$2)))^3)))),MAX(0,MIN(1,T153+(V153-T153)*(3*W153^2-2*W153^3)))))</x:f>
        <x:v>#N/A</x:v>
      </x:c>
      <x:c r="P153" s="189" t="str">
        <x:f>A153</x:f>
      </x:c>
      <x:c r="Q153" t="n">
        <x:f>COUNT($G$7:$G$106)</x:f>
        <x:v>0</x:v>
      </x:c>
      <x:c r="R153" t="str">
        <x:f>IF(OR(P153="",$B$2="",$F$2="",P153&lt;$B$2,P153&gt;$F$2),"",IF(Q153=0,0,IF(P153&lt;$G$7,0,IF(P153&gt;=INDEX($G$7:$G$106,Q153),Q153,MATCH(P153,$G$7:$G$106,1)))))</x:f>
      </x:c>
      <x:c r="S153" t="str">
        <x:f>IF(R153="","",IF(R153=0,$B$2,INDEX($G$7:$G$106,R153)))</x:f>
      </x:c>
      <x:c r="T153" s="14" t="str">
        <x:f>IF(R153="","",IF(R153=0,0,INDEX($H$7:$H$106,R153)))</x:f>
      </x:c>
      <x:c r="U153" t="str">
        <x:f>IF(R153="","",IF(Q153=0,$F$2,IF(R153=0,$G$7,IF(R153&lt;Q153,INDEX($G$7:$G$106,R153+1),$F$2))))</x:f>
      </x:c>
      <x:c r="V153" s="14" t="str">
        <x:f>IF(R153="","",IF(Q153=0,$H$2,IF(R153=0,$H$7,IF(R153&lt;Q153,INDEX($H$7:$H$106,R153+1),$H$2))))</x:f>
      </x:c>
      <x:c r="W153" s="188" t="str">
        <x:f>IF(R153="","",IF(U153=S153,1,MAX(0,MIN(1,(P153-S153)/(U153-S153)))))</x:f>
      </x:c>
    </x:row>
    <x:row r="154">
      <x:c r="A154" s="159" t="str">
        <x:f>IF(OR(A153="",A153&gt;=$D$2),"",A153+1)</x:f>
      </x:c>
      <x:c r="B154" s="162" t="str">
        <x:f>IF(A154="","",IFERROR(SUMPRODUCT(--('Project Plan'!$A$7:$A$206&lt;&gt;""),('Project Plan'!$P$7:$P$206+('Project Plan'!$P$7:$P$206="")),--('Project Plan'!$F$7:$F$206&lt;&gt;""),--('Project Plan'!$G$7:$G$206&lt;&gt;""),((A154&gt;='Project Plan'!$G$7:$G$206)+((A154&gt;='Project Plan'!$F$7:$F$206)*(A154&lt;'Project Plan'!$G$7:$G$206)*(A154-'Project Plan'!$F$7:$F$206+1)/('Project Plan'!$G$7:$G$206-'Project Plan'!$F$7:$F$206+1))))/SUMPRODUCT(--('Project Plan'!$A$7:$A$206&lt;&gt;""),('Project Plan'!$P$7:$P$206+('Project Plan'!$P$7:$P$206=""))),0))</x:f>
      </x:c>
      <x:c r="C154" s="162" t="str">
        <x:f>IF(A154="","",IF(A154&gt;$F$2,"",IF(A154=$F$2,$H$2,IFERROR(LOOKUP(2,1/(($G$7:$G$106&lt;&gt;"")*($G$7:$G$106&lt;=A154)),$H$7:$H$106),""))))</x:f>
      </x:c>
      <x:c r="D154" s="162" t="str">
        <x:f>IF(C154="","",C154-B154)</x:f>
      </x:c>
      <x:c r="E154" s="163" t="str">
        <x:f>IF(D154="","",IF(D154&gt;=0,"On / Ahead",IF(D154&gt;=-0.05,"Watch","Behind")))</x:f>
      </x:c>
      <x:c r="J154"/>
      <x:c r="K154"/>
      <x:c r="L154"/>
      <x:c r="M154" t="str">
        <x:f>IF(A154="","",TEXT(A154,"mmm d"))</x:f>
      </x:c>
      <x:c r="N154" s="14" t="e">
        <x:f>IF(B154="",NA(),B154)</x:f>
        <x:v>#N/A</x:v>
      </x:c>
      <x:c r="O154" s="14" t="e">
        <x:f>IF(OR(P154="",$B$2="",$F$2="",P154&lt;$B$2,P154&gt;$F$2),NA(),IF(Q154=0,IF($F$2=$B$2,$H$2,MAX(0,MIN(1,$H$2*(3*MAX(0,MIN(1,(P154-$B$2)/($F$2-$B$2)))^2-2*MAX(0,MIN(1,(P154-$B$2)/($F$2-$B$2)))^3)))),MAX(0,MIN(1,T154+(V154-T154)*(3*W154^2-2*W154^3)))))</x:f>
        <x:v>#N/A</x:v>
      </x:c>
      <x:c r="P154" s="189" t="str">
        <x:f>A154</x:f>
      </x:c>
      <x:c r="Q154" t="n">
        <x:f>COUNT($G$7:$G$106)</x:f>
        <x:v>0</x:v>
      </x:c>
      <x:c r="R154" t="str">
        <x:f>IF(OR(P154="",$B$2="",$F$2="",P154&lt;$B$2,P154&gt;$F$2),"",IF(Q154=0,0,IF(P154&lt;$G$7,0,IF(P154&gt;=INDEX($G$7:$G$106,Q154),Q154,MATCH(P154,$G$7:$G$106,1)))))</x:f>
      </x:c>
      <x:c r="S154" t="str">
        <x:f>IF(R154="","",IF(R154=0,$B$2,INDEX($G$7:$G$106,R154)))</x:f>
      </x:c>
      <x:c r="T154" s="14" t="str">
        <x:f>IF(R154="","",IF(R154=0,0,INDEX($H$7:$H$106,R154)))</x:f>
      </x:c>
      <x:c r="U154" t="str">
        <x:f>IF(R154="","",IF(Q154=0,$F$2,IF(R154=0,$G$7,IF(R154&lt;Q154,INDEX($G$7:$G$106,R154+1),$F$2))))</x:f>
      </x:c>
      <x:c r="V154" s="14" t="str">
        <x:f>IF(R154="","",IF(Q154=0,$H$2,IF(R154=0,$H$7,IF(R154&lt;Q154,INDEX($H$7:$H$106,R154+1),$H$2))))</x:f>
      </x:c>
      <x:c r="W154" s="188" t="str">
        <x:f>IF(R154="","",IF(U154=S154,1,MAX(0,MIN(1,(P154-S154)/(U154-S154)))))</x:f>
      </x:c>
    </x:row>
    <x:row r="155">
      <x:c r="A155" s="159" t="str">
        <x:f>IF(OR(A154="",A154&gt;=$D$2),"",A154+1)</x:f>
      </x:c>
      <x:c r="B155" s="162" t="str">
        <x:f>IF(A155="","",IFERROR(SUMPRODUCT(--('Project Plan'!$A$7:$A$206&lt;&gt;""),('Project Plan'!$P$7:$P$206+('Project Plan'!$P$7:$P$206="")),--('Project Plan'!$F$7:$F$206&lt;&gt;""),--('Project Plan'!$G$7:$G$206&lt;&gt;""),((A155&gt;='Project Plan'!$G$7:$G$206)+((A155&gt;='Project Plan'!$F$7:$F$206)*(A155&lt;'Project Plan'!$G$7:$G$206)*(A155-'Project Plan'!$F$7:$F$206+1)/('Project Plan'!$G$7:$G$206-'Project Plan'!$F$7:$F$206+1))))/SUMPRODUCT(--('Project Plan'!$A$7:$A$206&lt;&gt;""),('Project Plan'!$P$7:$P$206+('Project Plan'!$P$7:$P$206=""))),0))</x:f>
      </x:c>
      <x:c r="C155" s="162" t="str">
        <x:f>IF(A155="","",IF(A155&gt;$F$2,"",IF(A155=$F$2,$H$2,IFERROR(LOOKUP(2,1/(($G$7:$G$106&lt;&gt;"")*($G$7:$G$106&lt;=A155)),$H$7:$H$106),""))))</x:f>
      </x:c>
      <x:c r="D155" s="162" t="str">
        <x:f>IF(C155="","",C155-B155)</x:f>
      </x:c>
      <x:c r="E155" s="163" t="str">
        <x:f>IF(D155="","",IF(D155&gt;=0,"On / Ahead",IF(D155&gt;=-0.05,"Watch","Behind")))</x:f>
      </x:c>
      <x:c r="J155"/>
      <x:c r="K155"/>
      <x:c r="L155"/>
      <x:c r="M155" t="str">
        <x:f>IF(A155="","",TEXT(A155,"mmm d"))</x:f>
      </x:c>
      <x:c r="N155" s="14" t="e">
        <x:f>IF(B155="",NA(),B155)</x:f>
        <x:v>#N/A</x:v>
      </x:c>
      <x:c r="O155" s="14" t="e">
        <x:f>IF(OR(P155="",$B$2="",$F$2="",P155&lt;$B$2,P155&gt;$F$2),NA(),IF(Q155=0,IF($F$2=$B$2,$H$2,MAX(0,MIN(1,$H$2*(3*MAX(0,MIN(1,(P155-$B$2)/($F$2-$B$2)))^2-2*MAX(0,MIN(1,(P155-$B$2)/($F$2-$B$2)))^3)))),MAX(0,MIN(1,T155+(V155-T155)*(3*W155^2-2*W155^3)))))</x:f>
        <x:v>#N/A</x:v>
      </x:c>
      <x:c r="P155" s="189" t="str">
        <x:f>A155</x:f>
      </x:c>
      <x:c r="Q155" t="n">
        <x:f>COUNT($G$7:$G$106)</x:f>
        <x:v>0</x:v>
      </x:c>
      <x:c r="R155" t="str">
        <x:f>IF(OR(P155="",$B$2="",$F$2="",P155&lt;$B$2,P155&gt;$F$2),"",IF(Q155=0,0,IF(P155&lt;$G$7,0,IF(P155&gt;=INDEX($G$7:$G$106,Q155),Q155,MATCH(P155,$G$7:$G$106,1)))))</x:f>
      </x:c>
      <x:c r="S155" t="str">
        <x:f>IF(R155="","",IF(R155=0,$B$2,INDEX($G$7:$G$106,R155)))</x:f>
      </x:c>
      <x:c r="T155" s="14" t="str">
        <x:f>IF(R155="","",IF(R155=0,0,INDEX($H$7:$H$106,R155)))</x:f>
      </x:c>
      <x:c r="U155" t="str">
        <x:f>IF(R155="","",IF(Q155=0,$F$2,IF(R155=0,$G$7,IF(R155&lt;Q155,INDEX($G$7:$G$106,R155+1),$F$2))))</x:f>
      </x:c>
      <x:c r="V155" s="14" t="str">
        <x:f>IF(R155="","",IF(Q155=0,$H$2,IF(R155=0,$H$7,IF(R155&lt;Q155,INDEX($H$7:$H$106,R155+1),$H$2))))</x:f>
      </x:c>
      <x:c r="W155" s="188" t="str">
        <x:f>IF(R155="","",IF(U155=S155,1,MAX(0,MIN(1,(P155-S155)/(U155-S155)))))</x:f>
      </x:c>
    </x:row>
    <x:row r="156">
      <x:c r="A156" s="159" t="str">
        <x:f>IF(OR(A155="",A155&gt;=$D$2),"",A155+1)</x:f>
      </x:c>
      <x:c r="B156" s="162" t="str">
        <x:f>IF(A156="","",IFERROR(SUMPRODUCT(--('Project Plan'!$A$7:$A$206&lt;&gt;""),('Project Plan'!$P$7:$P$206+('Project Plan'!$P$7:$P$206="")),--('Project Plan'!$F$7:$F$206&lt;&gt;""),--('Project Plan'!$G$7:$G$206&lt;&gt;""),((A156&gt;='Project Plan'!$G$7:$G$206)+((A156&gt;='Project Plan'!$F$7:$F$206)*(A156&lt;'Project Plan'!$G$7:$G$206)*(A156-'Project Plan'!$F$7:$F$206+1)/('Project Plan'!$G$7:$G$206-'Project Plan'!$F$7:$F$206+1))))/SUMPRODUCT(--('Project Plan'!$A$7:$A$206&lt;&gt;""),('Project Plan'!$P$7:$P$206+('Project Plan'!$P$7:$P$206=""))),0))</x:f>
      </x:c>
      <x:c r="C156" s="162" t="str">
        <x:f>IF(A156="","",IF(A156&gt;$F$2,"",IF(A156=$F$2,$H$2,IFERROR(LOOKUP(2,1/(($G$7:$G$106&lt;&gt;"")*($G$7:$G$106&lt;=A156)),$H$7:$H$106),""))))</x:f>
      </x:c>
      <x:c r="D156" s="162" t="str">
        <x:f>IF(C156="","",C156-B156)</x:f>
      </x:c>
      <x:c r="E156" s="163" t="str">
        <x:f>IF(D156="","",IF(D156&gt;=0,"On / Ahead",IF(D156&gt;=-0.05,"Watch","Behind")))</x:f>
      </x:c>
      <x:c r="J156"/>
      <x:c r="K156"/>
      <x:c r="L156"/>
      <x:c r="M156" t="str">
        <x:f>IF(A156="","",TEXT(A156,"mmm d"))</x:f>
      </x:c>
      <x:c r="N156" s="14" t="e">
        <x:f>IF(B156="",NA(),B156)</x:f>
        <x:v>#N/A</x:v>
      </x:c>
      <x:c r="O156" s="14" t="e">
        <x:f>IF(OR(P156="",$B$2="",$F$2="",P156&lt;$B$2,P156&gt;$F$2),NA(),IF(Q156=0,IF($F$2=$B$2,$H$2,MAX(0,MIN(1,$H$2*(3*MAX(0,MIN(1,(P156-$B$2)/($F$2-$B$2)))^2-2*MAX(0,MIN(1,(P156-$B$2)/($F$2-$B$2)))^3)))),MAX(0,MIN(1,T156+(V156-T156)*(3*W156^2-2*W156^3)))))</x:f>
        <x:v>#N/A</x:v>
      </x:c>
      <x:c r="P156" s="189" t="str">
        <x:f>A156</x:f>
      </x:c>
      <x:c r="Q156" t="n">
        <x:f>COUNT($G$7:$G$106)</x:f>
        <x:v>0</x:v>
      </x:c>
      <x:c r="R156" t="str">
        <x:f>IF(OR(P156="",$B$2="",$F$2="",P156&lt;$B$2,P156&gt;$F$2),"",IF(Q156=0,0,IF(P156&lt;$G$7,0,IF(P156&gt;=INDEX($G$7:$G$106,Q156),Q156,MATCH(P156,$G$7:$G$106,1)))))</x:f>
      </x:c>
      <x:c r="S156" t="str">
        <x:f>IF(R156="","",IF(R156=0,$B$2,INDEX($G$7:$G$106,R156)))</x:f>
      </x:c>
      <x:c r="T156" s="14" t="str">
        <x:f>IF(R156="","",IF(R156=0,0,INDEX($H$7:$H$106,R156)))</x:f>
      </x:c>
      <x:c r="U156" t="str">
        <x:f>IF(R156="","",IF(Q156=0,$F$2,IF(R156=0,$G$7,IF(R156&lt;Q156,INDEX($G$7:$G$106,R156+1),$F$2))))</x:f>
      </x:c>
      <x:c r="V156" s="14" t="str">
        <x:f>IF(R156="","",IF(Q156=0,$H$2,IF(R156=0,$H$7,IF(R156&lt;Q156,INDEX($H$7:$H$106,R156+1),$H$2))))</x:f>
      </x:c>
      <x:c r="W156" s="188" t="str">
        <x:f>IF(R156="","",IF(U156=S156,1,MAX(0,MIN(1,(P156-S156)/(U156-S156)))))</x:f>
      </x:c>
    </x:row>
    <x:row r="157">
      <x:c r="A157" s="159" t="str">
        <x:f>IF(OR(A156="",A156&gt;=$D$2),"",A156+1)</x:f>
      </x:c>
      <x:c r="B157" s="162" t="str">
        <x:f>IF(A157="","",IFERROR(SUMPRODUCT(--('Project Plan'!$A$7:$A$206&lt;&gt;""),('Project Plan'!$P$7:$P$206+('Project Plan'!$P$7:$P$206="")),--('Project Plan'!$F$7:$F$206&lt;&gt;""),--('Project Plan'!$G$7:$G$206&lt;&gt;""),((A157&gt;='Project Plan'!$G$7:$G$206)+((A157&gt;='Project Plan'!$F$7:$F$206)*(A157&lt;'Project Plan'!$G$7:$G$206)*(A157-'Project Plan'!$F$7:$F$206+1)/('Project Plan'!$G$7:$G$206-'Project Plan'!$F$7:$F$206+1))))/SUMPRODUCT(--('Project Plan'!$A$7:$A$206&lt;&gt;""),('Project Plan'!$P$7:$P$206+('Project Plan'!$P$7:$P$206=""))),0))</x:f>
      </x:c>
      <x:c r="C157" s="162" t="str">
        <x:f>IF(A157="","",IF(A157&gt;$F$2,"",IF(A157=$F$2,$H$2,IFERROR(LOOKUP(2,1/(($G$7:$G$106&lt;&gt;"")*($G$7:$G$106&lt;=A157)),$H$7:$H$106),""))))</x:f>
      </x:c>
      <x:c r="D157" s="162" t="str">
        <x:f>IF(C157="","",C157-B157)</x:f>
      </x:c>
      <x:c r="E157" s="163" t="str">
        <x:f>IF(D157="","",IF(D157&gt;=0,"On / Ahead",IF(D157&gt;=-0.05,"Watch","Behind")))</x:f>
      </x:c>
      <x:c r="J157"/>
      <x:c r="K157"/>
      <x:c r="L157"/>
      <x:c r="M157" t="str">
        <x:f>IF(A157="","",TEXT(A157,"mmm d"))</x:f>
      </x:c>
      <x:c r="N157" s="14" t="e">
        <x:f>IF(B157="",NA(),B157)</x:f>
        <x:v>#N/A</x:v>
      </x:c>
      <x:c r="O157" s="14" t="e">
        <x:f>IF(OR(P157="",$B$2="",$F$2="",P157&lt;$B$2,P157&gt;$F$2),NA(),IF(Q157=0,IF($F$2=$B$2,$H$2,MAX(0,MIN(1,$H$2*(3*MAX(0,MIN(1,(P157-$B$2)/($F$2-$B$2)))^2-2*MAX(0,MIN(1,(P157-$B$2)/($F$2-$B$2)))^3)))),MAX(0,MIN(1,T157+(V157-T157)*(3*W157^2-2*W157^3)))))</x:f>
        <x:v>#N/A</x:v>
      </x:c>
      <x:c r="P157" s="189" t="str">
        <x:f>A157</x:f>
      </x:c>
      <x:c r="Q157" t="n">
        <x:f>COUNT($G$7:$G$106)</x:f>
        <x:v>0</x:v>
      </x:c>
      <x:c r="R157" t="str">
        <x:f>IF(OR(P157="",$B$2="",$F$2="",P157&lt;$B$2,P157&gt;$F$2),"",IF(Q157=0,0,IF(P157&lt;$G$7,0,IF(P157&gt;=INDEX($G$7:$G$106,Q157),Q157,MATCH(P157,$G$7:$G$106,1)))))</x:f>
      </x:c>
      <x:c r="S157" t="str">
        <x:f>IF(R157="","",IF(R157=0,$B$2,INDEX($G$7:$G$106,R157)))</x:f>
      </x:c>
      <x:c r="T157" s="14" t="str">
        <x:f>IF(R157="","",IF(R157=0,0,INDEX($H$7:$H$106,R157)))</x:f>
      </x:c>
      <x:c r="U157" t="str">
        <x:f>IF(R157="","",IF(Q157=0,$F$2,IF(R157=0,$G$7,IF(R157&lt;Q157,INDEX($G$7:$G$106,R157+1),$F$2))))</x:f>
      </x:c>
      <x:c r="V157" s="14" t="str">
        <x:f>IF(R157="","",IF(Q157=0,$H$2,IF(R157=0,$H$7,IF(R157&lt;Q157,INDEX($H$7:$H$106,R157+1),$H$2))))</x:f>
      </x:c>
      <x:c r="W157" s="188" t="str">
        <x:f>IF(R157="","",IF(U157=S157,1,MAX(0,MIN(1,(P157-S157)/(U157-S157)))))</x:f>
      </x:c>
    </x:row>
    <x:row r="158">
      <x:c r="A158" s="159" t="str">
        <x:f>IF(OR(A157="",A157&gt;=$D$2),"",A157+1)</x:f>
      </x:c>
      <x:c r="B158" s="162" t="str">
        <x:f>IF(A158="","",IFERROR(SUMPRODUCT(--('Project Plan'!$A$7:$A$206&lt;&gt;""),('Project Plan'!$P$7:$P$206+('Project Plan'!$P$7:$P$206="")),--('Project Plan'!$F$7:$F$206&lt;&gt;""),--('Project Plan'!$G$7:$G$206&lt;&gt;""),((A158&gt;='Project Plan'!$G$7:$G$206)+((A158&gt;='Project Plan'!$F$7:$F$206)*(A158&lt;'Project Plan'!$G$7:$G$206)*(A158-'Project Plan'!$F$7:$F$206+1)/('Project Plan'!$G$7:$G$206-'Project Plan'!$F$7:$F$206+1))))/SUMPRODUCT(--('Project Plan'!$A$7:$A$206&lt;&gt;""),('Project Plan'!$P$7:$P$206+('Project Plan'!$P$7:$P$206=""))),0))</x:f>
      </x:c>
      <x:c r="C158" s="162" t="str">
        <x:f>IF(A158="","",IF(A158&gt;$F$2,"",IF(A158=$F$2,$H$2,IFERROR(LOOKUP(2,1/(($G$7:$G$106&lt;&gt;"")*($G$7:$G$106&lt;=A158)),$H$7:$H$106),""))))</x:f>
      </x:c>
      <x:c r="D158" s="162" t="str">
        <x:f>IF(C158="","",C158-B158)</x:f>
      </x:c>
      <x:c r="E158" s="163" t="str">
        <x:f>IF(D158="","",IF(D158&gt;=0,"On / Ahead",IF(D158&gt;=-0.05,"Watch","Behind")))</x:f>
      </x:c>
      <x:c r="J158"/>
      <x:c r="K158"/>
      <x:c r="L158"/>
      <x:c r="M158" t="str">
        <x:f>IF(A158="","",TEXT(A158,"mmm d"))</x:f>
      </x:c>
      <x:c r="N158" s="14" t="e">
        <x:f>IF(B158="",NA(),B158)</x:f>
        <x:v>#N/A</x:v>
      </x:c>
      <x:c r="O158" s="14" t="e">
        <x:f>IF(OR(P158="",$B$2="",$F$2="",P158&lt;$B$2,P158&gt;$F$2),NA(),IF(Q158=0,IF($F$2=$B$2,$H$2,MAX(0,MIN(1,$H$2*(3*MAX(0,MIN(1,(P158-$B$2)/($F$2-$B$2)))^2-2*MAX(0,MIN(1,(P158-$B$2)/($F$2-$B$2)))^3)))),MAX(0,MIN(1,T158+(V158-T158)*(3*W158^2-2*W158^3)))))</x:f>
        <x:v>#N/A</x:v>
      </x:c>
      <x:c r="P158" s="189" t="str">
        <x:f>A158</x:f>
      </x:c>
      <x:c r="Q158" t="n">
        <x:f>COUNT($G$7:$G$106)</x:f>
        <x:v>0</x:v>
      </x:c>
      <x:c r="R158" t="str">
        <x:f>IF(OR(P158="",$B$2="",$F$2="",P158&lt;$B$2,P158&gt;$F$2),"",IF(Q158=0,0,IF(P158&lt;$G$7,0,IF(P158&gt;=INDEX($G$7:$G$106,Q158),Q158,MATCH(P158,$G$7:$G$106,1)))))</x:f>
      </x:c>
      <x:c r="S158" t="str">
        <x:f>IF(R158="","",IF(R158=0,$B$2,INDEX($G$7:$G$106,R158)))</x:f>
      </x:c>
      <x:c r="T158" s="14" t="str">
        <x:f>IF(R158="","",IF(R158=0,0,INDEX($H$7:$H$106,R158)))</x:f>
      </x:c>
      <x:c r="U158" t="str">
        <x:f>IF(R158="","",IF(Q158=0,$F$2,IF(R158=0,$G$7,IF(R158&lt;Q158,INDEX($G$7:$G$106,R158+1),$F$2))))</x:f>
      </x:c>
      <x:c r="V158" s="14" t="str">
        <x:f>IF(R158="","",IF(Q158=0,$H$2,IF(R158=0,$H$7,IF(R158&lt;Q158,INDEX($H$7:$H$106,R158+1),$H$2))))</x:f>
      </x:c>
      <x:c r="W158" s="188" t="str">
        <x:f>IF(R158="","",IF(U158=S158,1,MAX(0,MIN(1,(P158-S158)/(U158-S158)))))</x:f>
      </x:c>
    </x:row>
    <x:row r="159">
      <x:c r="A159" s="159" t="str">
        <x:f>IF(OR(A158="",A158&gt;=$D$2),"",A158+1)</x:f>
      </x:c>
      <x:c r="B159" s="162" t="str">
        <x:f>IF(A159="","",IFERROR(SUMPRODUCT(--('Project Plan'!$A$7:$A$206&lt;&gt;""),('Project Plan'!$P$7:$P$206+('Project Plan'!$P$7:$P$206="")),--('Project Plan'!$F$7:$F$206&lt;&gt;""),--('Project Plan'!$G$7:$G$206&lt;&gt;""),((A159&gt;='Project Plan'!$G$7:$G$206)+((A159&gt;='Project Plan'!$F$7:$F$206)*(A159&lt;'Project Plan'!$G$7:$G$206)*(A159-'Project Plan'!$F$7:$F$206+1)/('Project Plan'!$G$7:$G$206-'Project Plan'!$F$7:$F$206+1))))/SUMPRODUCT(--('Project Plan'!$A$7:$A$206&lt;&gt;""),('Project Plan'!$P$7:$P$206+('Project Plan'!$P$7:$P$206=""))),0))</x:f>
      </x:c>
      <x:c r="C159" s="162" t="str">
        <x:f>IF(A159="","",IF(A159&gt;$F$2,"",IF(A159=$F$2,$H$2,IFERROR(LOOKUP(2,1/(($G$7:$G$106&lt;&gt;"")*($G$7:$G$106&lt;=A159)),$H$7:$H$106),""))))</x:f>
      </x:c>
      <x:c r="D159" s="162" t="str">
        <x:f>IF(C159="","",C159-B159)</x:f>
      </x:c>
      <x:c r="E159" s="163" t="str">
        <x:f>IF(D159="","",IF(D159&gt;=0,"On / Ahead",IF(D159&gt;=-0.05,"Watch","Behind")))</x:f>
      </x:c>
      <x:c r="J159"/>
      <x:c r="K159"/>
      <x:c r="L159"/>
      <x:c r="M159" t="str">
        <x:f>IF(A159="","",TEXT(A159,"mmm d"))</x:f>
      </x:c>
      <x:c r="N159" s="14" t="e">
        <x:f>IF(B159="",NA(),B159)</x:f>
        <x:v>#N/A</x:v>
      </x:c>
      <x:c r="O159" s="14" t="e">
        <x:f>IF(OR(P159="",$B$2="",$F$2="",P159&lt;$B$2,P159&gt;$F$2),NA(),IF(Q159=0,IF($F$2=$B$2,$H$2,MAX(0,MIN(1,$H$2*(3*MAX(0,MIN(1,(P159-$B$2)/($F$2-$B$2)))^2-2*MAX(0,MIN(1,(P159-$B$2)/($F$2-$B$2)))^3)))),MAX(0,MIN(1,T159+(V159-T159)*(3*W159^2-2*W159^3)))))</x:f>
        <x:v>#N/A</x:v>
      </x:c>
      <x:c r="P159" s="189" t="str">
        <x:f>A159</x:f>
      </x:c>
      <x:c r="Q159" t="n">
        <x:f>COUNT($G$7:$G$106)</x:f>
        <x:v>0</x:v>
      </x:c>
      <x:c r="R159" t="str">
        <x:f>IF(OR(P159="",$B$2="",$F$2="",P159&lt;$B$2,P159&gt;$F$2),"",IF(Q159=0,0,IF(P159&lt;$G$7,0,IF(P159&gt;=INDEX($G$7:$G$106,Q159),Q159,MATCH(P159,$G$7:$G$106,1)))))</x:f>
      </x:c>
      <x:c r="S159" t="str">
        <x:f>IF(R159="","",IF(R159=0,$B$2,INDEX($G$7:$G$106,R159)))</x:f>
      </x:c>
      <x:c r="T159" s="14" t="str">
        <x:f>IF(R159="","",IF(R159=0,0,INDEX($H$7:$H$106,R159)))</x:f>
      </x:c>
      <x:c r="U159" t="str">
        <x:f>IF(R159="","",IF(Q159=0,$F$2,IF(R159=0,$G$7,IF(R159&lt;Q159,INDEX($G$7:$G$106,R159+1),$F$2))))</x:f>
      </x:c>
      <x:c r="V159" s="14" t="str">
        <x:f>IF(R159="","",IF(Q159=0,$H$2,IF(R159=0,$H$7,IF(R159&lt;Q159,INDEX($H$7:$H$106,R159+1),$H$2))))</x:f>
      </x:c>
      <x:c r="W159" s="188" t="str">
        <x:f>IF(R159="","",IF(U159=S159,1,MAX(0,MIN(1,(P159-S159)/(U159-S159)))))</x:f>
      </x:c>
    </x:row>
    <x:row r="160">
      <x:c r="A160" s="159" t="str">
        <x:f>IF(OR(A159="",A159&gt;=$D$2),"",A159+1)</x:f>
      </x:c>
      <x:c r="B160" s="162" t="str">
        <x:f>IF(A160="","",IFERROR(SUMPRODUCT(--('Project Plan'!$A$7:$A$206&lt;&gt;""),('Project Plan'!$P$7:$P$206+('Project Plan'!$P$7:$P$206="")),--('Project Plan'!$F$7:$F$206&lt;&gt;""),--('Project Plan'!$G$7:$G$206&lt;&gt;""),((A160&gt;='Project Plan'!$G$7:$G$206)+((A160&gt;='Project Plan'!$F$7:$F$206)*(A160&lt;'Project Plan'!$G$7:$G$206)*(A160-'Project Plan'!$F$7:$F$206+1)/('Project Plan'!$G$7:$G$206-'Project Plan'!$F$7:$F$206+1))))/SUMPRODUCT(--('Project Plan'!$A$7:$A$206&lt;&gt;""),('Project Plan'!$P$7:$P$206+('Project Plan'!$P$7:$P$206=""))),0))</x:f>
      </x:c>
      <x:c r="C160" s="162" t="str">
        <x:f>IF(A160="","",IF(A160&gt;$F$2,"",IF(A160=$F$2,$H$2,IFERROR(LOOKUP(2,1/(($G$7:$G$106&lt;&gt;"")*($G$7:$G$106&lt;=A160)),$H$7:$H$106),""))))</x:f>
      </x:c>
      <x:c r="D160" s="162" t="str">
        <x:f>IF(C160="","",C160-B160)</x:f>
      </x:c>
      <x:c r="E160" s="163" t="str">
        <x:f>IF(D160="","",IF(D160&gt;=0,"On / Ahead",IF(D160&gt;=-0.05,"Watch","Behind")))</x:f>
      </x:c>
      <x:c r="J160"/>
      <x:c r="K160"/>
      <x:c r="L160"/>
      <x:c r="M160" t="str">
        <x:f>IF(A160="","",TEXT(A160,"mmm d"))</x:f>
      </x:c>
      <x:c r="N160" s="14" t="e">
        <x:f>IF(B160="",NA(),B160)</x:f>
        <x:v>#N/A</x:v>
      </x:c>
      <x:c r="O160" s="14" t="e">
        <x:f>IF(OR(P160="",$B$2="",$F$2="",P160&lt;$B$2,P160&gt;$F$2),NA(),IF(Q160=0,IF($F$2=$B$2,$H$2,MAX(0,MIN(1,$H$2*(3*MAX(0,MIN(1,(P160-$B$2)/($F$2-$B$2)))^2-2*MAX(0,MIN(1,(P160-$B$2)/($F$2-$B$2)))^3)))),MAX(0,MIN(1,T160+(V160-T160)*(3*W160^2-2*W160^3)))))</x:f>
        <x:v>#N/A</x:v>
      </x:c>
      <x:c r="P160" s="189" t="str">
        <x:f>A160</x:f>
      </x:c>
      <x:c r="Q160" t="n">
        <x:f>COUNT($G$7:$G$106)</x:f>
        <x:v>0</x:v>
      </x:c>
      <x:c r="R160" t="str">
        <x:f>IF(OR(P160="",$B$2="",$F$2="",P160&lt;$B$2,P160&gt;$F$2),"",IF(Q160=0,0,IF(P160&lt;$G$7,0,IF(P160&gt;=INDEX($G$7:$G$106,Q160),Q160,MATCH(P160,$G$7:$G$106,1)))))</x:f>
      </x:c>
      <x:c r="S160" t="str">
        <x:f>IF(R160="","",IF(R160=0,$B$2,INDEX($G$7:$G$106,R160)))</x:f>
      </x:c>
      <x:c r="T160" s="14" t="str">
        <x:f>IF(R160="","",IF(R160=0,0,INDEX($H$7:$H$106,R160)))</x:f>
      </x:c>
      <x:c r="U160" t="str">
        <x:f>IF(R160="","",IF(Q160=0,$F$2,IF(R160=0,$G$7,IF(R160&lt;Q160,INDEX($G$7:$G$106,R160+1),$F$2))))</x:f>
      </x:c>
      <x:c r="V160" s="14" t="str">
        <x:f>IF(R160="","",IF(Q160=0,$H$2,IF(R160=0,$H$7,IF(R160&lt;Q160,INDEX($H$7:$H$106,R160+1),$H$2))))</x:f>
      </x:c>
      <x:c r="W160" s="188" t="str">
        <x:f>IF(R160="","",IF(U160=S160,1,MAX(0,MIN(1,(P160-S160)/(U160-S160)))))</x:f>
      </x:c>
    </x:row>
    <x:row r="161">
      <x:c r="A161" s="159" t="str">
        <x:f>IF(OR(A160="",A160&gt;=$D$2),"",A160+1)</x:f>
      </x:c>
      <x:c r="B161" s="162" t="str">
        <x:f>IF(A161="","",IFERROR(SUMPRODUCT(--('Project Plan'!$A$7:$A$206&lt;&gt;""),('Project Plan'!$P$7:$P$206+('Project Plan'!$P$7:$P$206="")),--('Project Plan'!$F$7:$F$206&lt;&gt;""),--('Project Plan'!$G$7:$G$206&lt;&gt;""),((A161&gt;='Project Plan'!$G$7:$G$206)+((A161&gt;='Project Plan'!$F$7:$F$206)*(A161&lt;'Project Plan'!$G$7:$G$206)*(A161-'Project Plan'!$F$7:$F$206+1)/('Project Plan'!$G$7:$G$206-'Project Plan'!$F$7:$F$206+1))))/SUMPRODUCT(--('Project Plan'!$A$7:$A$206&lt;&gt;""),('Project Plan'!$P$7:$P$206+('Project Plan'!$P$7:$P$206=""))),0))</x:f>
      </x:c>
      <x:c r="C161" s="162" t="str">
        <x:f>IF(A161="","",IF(A161&gt;$F$2,"",IF(A161=$F$2,$H$2,IFERROR(LOOKUP(2,1/(($G$7:$G$106&lt;&gt;"")*($G$7:$G$106&lt;=A161)),$H$7:$H$106),""))))</x:f>
      </x:c>
      <x:c r="D161" s="162" t="str">
        <x:f>IF(C161="","",C161-B161)</x:f>
      </x:c>
      <x:c r="E161" s="163" t="str">
        <x:f>IF(D161="","",IF(D161&gt;=0,"On / Ahead",IF(D161&gt;=-0.05,"Watch","Behind")))</x:f>
      </x:c>
      <x:c r="J161"/>
      <x:c r="K161"/>
      <x:c r="L161"/>
      <x:c r="M161" t="str">
        <x:f>IF(A161="","",TEXT(A161,"mmm d"))</x:f>
      </x:c>
      <x:c r="N161" s="14" t="e">
        <x:f>IF(B161="",NA(),B161)</x:f>
        <x:v>#N/A</x:v>
      </x:c>
      <x:c r="O161" s="14" t="e">
        <x:f>IF(OR(P161="",$B$2="",$F$2="",P161&lt;$B$2,P161&gt;$F$2),NA(),IF(Q161=0,IF($F$2=$B$2,$H$2,MAX(0,MIN(1,$H$2*(3*MAX(0,MIN(1,(P161-$B$2)/($F$2-$B$2)))^2-2*MAX(0,MIN(1,(P161-$B$2)/($F$2-$B$2)))^3)))),MAX(0,MIN(1,T161+(V161-T161)*(3*W161^2-2*W161^3)))))</x:f>
        <x:v>#N/A</x:v>
      </x:c>
      <x:c r="P161" s="189" t="str">
        <x:f>A161</x:f>
      </x:c>
      <x:c r="Q161" t="n">
        <x:f>COUNT($G$7:$G$106)</x:f>
        <x:v>0</x:v>
      </x:c>
      <x:c r="R161" t="str">
        <x:f>IF(OR(P161="",$B$2="",$F$2="",P161&lt;$B$2,P161&gt;$F$2),"",IF(Q161=0,0,IF(P161&lt;$G$7,0,IF(P161&gt;=INDEX($G$7:$G$106,Q161),Q161,MATCH(P161,$G$7:$G$106,1)))))</x:f>
      </x:c>
      <x:c r="S161" t="str">
        <x:f>IF(R161="","",IF(R161=0,$B$2,INDEX($G$7:$G$106,R161)))</x:f>
      </x:c>
      <x:c r="T161" s="14" t="str">
        <x:f>IF(R161="","",IF(R161=0,0,INDEX($H$7:$H$106,R161)))</x:f>
      </x:c>
      <x:c r="U161" t="str">
        <x:f>IF(R161="","",IF(Q161=0,$F$2,IF(R161=0,$G$7,IF(R161&lt;Q161,INDEX($G$7:$G$106,R161+1),$F$2))))</x:f>
      </x:c>
      <x:c r="V161" s="14" t="str">
        <x:f>IF(R161="","",IF(Q161=0,$H$2,IF(R161=0,$H$7,IF(R161&lt;Q161,INDEX($H$7:$H$106,R161+1),$H$2))))</x:f>
      </x:c>
      <x:c r="W161" s="188" t="str">
        <x:f>IF(R161="","",IF(U161=S161,1,MAX(0,MIN(1,(P161-S161)/(U161-S161)))))</x:f>
      </x:c>
    </x:row>
    <x:row r="162">
      <x:c r="A162" s="159" t="str">
        <x:f>IF(OR(A161="",A161&gt;=$D$2),"",A161+1)</x:f>
      </x:c>
      <x:c r="B162" s="162" t="str">
        <x:f>IF(A162="","",IFERROR(SUMPRODUCT(--('Project Plan'!$A$7:$A$206&lt;&gt;""),('Project Plan'!$P$7:$P$206+('Project Plan'!$P$7:$P$206="")),--('Project Plan'!$F$7:$F$206&lt;&gt;""),--('Project Plan'!$G$7:$G$206&lt;&gt;""),((A162&gt;='Project Plan'!$G$7:$G$206)+((A162&gt;='Project Plan'!$F$7:$F$206)*(A162&lt;'Project Plan'!$G$7:$G$206)*(A162-'Project Plan'!$F$7:$F$206+1)/('Project Plan'!$G$7:$G$206-'Project Plan'!$F$7:$F$206+1))))/SUMPRODUCT(--('Project Plan'!$A$7:$A$206&lt;&gt;""),('Project Plan'!$P$7:$P$206+('Project Plan'!$P$7:$P$206=""))),0))</x:f>
      </x:c>
      <x:c r="C162" s="162" t="str">
        <x:f>IF(A162="","",IF(A162&gt;$F$2,"",IF(A162=$F$2,$H$2,IFERROR(LOOKUP(2,1/(($G$7:$G$106&lt;&gt;"")*($G$7:$G$106&lt;=A162)),$H$7:$H$106),""))))</x:f>
      </x:c>
      <x:c r="D162" s="162" t="str">
        <x:f>IF(C162="","",C162-B162)</x:f>
      </x:c>
      <x:c r="E162" s="163" t="str">
        <x:f>IF(D162="","",IF(D162&gt;=0,"On / Ahead",IF(D162&gt;=-0.05,"Watch","Behind")))</x:f>
      </x:c>
      <x:c r="J162"/>
      <x:c r="K162"/>
      <x:c r="L162"/>
      <x:c r="M162" t="str">
        <x:f>IF(A162="","",TEXT(A162,"mmm d"))</x:f>
      </x:c>
      <x:c r="N162" s="14" t="e">
        <x:f>IF(B162="",NA(),B162)</x:f>
        <x:v>#N/A</x:v>
      </x:c>
      <x:c r="O162" s="14" t="e">
        <x:f>IF(OR(P162="",$B$2="",$F$2="",P162&lt;$B$2,P162&gt;$F$2),NA(),IF(Q162=0,IF($F$2=$B$2,$H$2,MAX(0,MIN(1,$H$2*(3*MAX(0,MIN(1,(P162-$B$2)/($F$2-$B$2)))^2-2*MAX(0,MIN(1,(P162-$B$2)/($F$2-$B$2)))^3)))),MAX(0,MIN(1,T162+(V162-T162)*(3*W162^2-2*W162^3)))))</x:f>
        <x:v>#N/A</x:v>
      </x:c>
      <x:c r="P162" s="189" t="str">
        <x:f>A162</x:f>
      </x:c>
      <x:c r="Q162" t="n">
        <x:f>COUNT($G$7:$G$106)</x:f>
        <x:v>0</x:v>
      </x:c>
      <x:c r="R162" t="str">
        <x:f>IF(OR(P162="",$B$2="",$F$2="",P162&lt;$B$2,P162&gt;$F$2),"",IF(Q162=0,0,IF(P162&lt;$G$7,0,IF(P162&gt;=INDEX($G$7:$G$106,Q162),Q162,MATCH(P162,$G$7:$G$106,1)))))</x:f>
      </x:c>
      <x:c r="S162" t="str">
        <x:f>IF(R162="","",IF(R162=0,$B$2,INDEX($G$7:$G$106,R162)))</x:f>
      </x:c>
      <x:c r="T162" s="14" t="str">
        <x:f>IF(R162="","",IF(R162=0,0,INDEX($H$7:$H$106,R162)))</x:f>
      </x:c>
      <x:c r="U162" t="str">
        <x:f>IF(R162="","",IF(Q162=0,$F$2,IF(R162=0,$G$7,IF(R162&lt;Q162,INDEX($G$7:$G$106,R162+1),$F$2))))</x:f>
      </x:c>
      <x:c r="V162" s="14" t="str">
        <x:f>IF(R162="","",IF(Q162=0,$H$2,IF(R162=0,$H$7,IF(R162&lt;Q162,INDEX($H$7:$H$106,R162+1),$H$2))))</x:f>
      </x:c>
      <x:c r="W162" s="188" t="str">
        <x:f>IF(R162="","",IF(U162=S162,1,MAX(0,MIN(1,(P162-S162)/(U162-S162)))))</x:f>
      </x:c>
    </x:row>
    <x:row r="163">
      <x:c r="A163" s="159" t="str">
        <x:f>IF(OR(A162="",A162&gt;=$D$2),"",A162+1)</x:f>
      </x:c>
      <x:c r="B163" s="162" t="str">
        <x:f>IF(A163="","",IFERROR(SUMPRODUCT(--('Project Plan'!$A$7:$A$206&lt;&gt;""),('Project Plan'!$P$7:$P$206+('Project Plan'!$P$7:$P$206="")),--('Project Plan'!$F$7:$F$206&lt;&gt;""),--('Project Plan'!$G$7:$G$206&lt;&gt;""),((A163&gt;='Project Plan'!$G$7:$G$206)+((A163&gt;='Project Plan'!$F$7:$F$206)*(A163&lt;'Project Plan'!$G$7:$G$206)*(A163-'Project Plan'!$F$7:$F$206+1)/('Project Plan'!$G$7:$G$206-'Project Plan'!$F$7:$F$206+1))))/SUMPRODUCT(--('Project Plan'!$A$7:$A$206&lt;&gt;""),('Project Plan'!$P$7:$P$206+('Project Plan'!$P$7:$P$206=""))),0))</x:f>
      </x:c>
      <x:c r="C163" s="162" t="str">
        <x:f>IF(A163="","",IF(A163&gt;$F$2,"",IF(A163=$F$2,$H$2,IFERROR(LOOKUP(2,1/(($G$7:$G$106&lt;&gt;"")*($G$7:$G$106&lt;=A163)),$H$7:$H$106),""))))</x:f>
      </x:c>
      <x:c r="D163" s="162" t="str">
        <x:f>IF(C163="","",C163-B163)</x:f>
      </x:c>
      <x:c r="E163" s="163" t="str">
        <x:f>IF(D163="","",IF(D163&gt;=0,"On / Ahead",IF(D163&gt;=-0.05,"Watch","Behind")))</x:f>
      </x:c>
      <x:c r="J163"/>
      <x:c r="K163"/>
      <x:c r="L163"/>
      <x:c r="M163" t="str">
        <x:f>IF(A163="","",TEXT(A163,"mmm d"))</x:f>
      </x:c>
      <x:c r="N163" s="14" t="e">
        <x:f>IF(B163="",NA(),B163)</x:f>
        <x:v>#N/A</x:v>
      </x:c>
      <x:c r="O163" s="14" t="e">
        <x:f>IF(OR(P163="",$B$2="",$F$2="",P163&lt;$B$2,P163&gt;$F$2),NA(),IF(Q163=0,IF($F$2=$B$2,$H$2,MAX(0,MIN(1,$H$2*(3*MAX(0,MIN(1,(P163-$B$2)/($F$2-$B$2)))^2-2*MAX(0,MIN(1,(P163-$B$2)/($F$2-$B$2)))^3)))),MAX(0,MIN(1,T163+(V163-T163)*(3*W163^2-2*W163^3)))))</x:f>
        <x:v>#N/A</x:v>
      </x:c>
      <x:c r="P163" s="189" t="str">
        <x:f>A163</x:f>
      </x:c>
      <x:c r="Q163" t="n">
        <x:f>COUNT($G$7:$G$106)</x:f>
        <x:v>0</x:v>
      </x:c>
      <x:c r="R163" t="str">
        <x:f>IF(OR(P163="",$B$2="",$F$2="",P163&lt;$B$2,P163&gt;$F$2),"",IF(Q163=0,0,IF(P163&lt;$G$7,0,IF(P163&gt;=INDEX($G$7:$G$106,Q163),Q163,MATCH(P163,$G$7:$G$106,1)))))</x:f>
      </x:c>
      <x:c r="S163" t="str">
        <x:f>IF(R163="","",IF(R163=0,$B$2,INDEX($G$7:$G$106,R163)))</x:f>
      </x:c>
      <x:c r="T163" s="14" t="str">
        <x:f>IF(R163="","",IF(R163=0,0,INDEX($H$7:$H$106,R163)))</x:f>
      </x:c>
      <x:c r="U163" t="str">
        <x:f>IF(R163="","",IF(Q163=0,$F$2,IF(R163=0,$G$7,IF(R163&lt;Q163,INDEX($G$7:$G$106,R163+1),$F$2))))</x:f>
      </x:c>
      <x:c r="V163" s="14" t="str">
        <x:f>IF(R163="","",IF(Q163=0,$H$2,IF(R163=0,$H$7,IF(R163&lt;Q163,INDEX($H$7:$H$106,R163+1),$H$2))))</x:f>
      </x:c>
      <x:c r="W163" s="188" t="str">
        <x:f>IF(R163="","",IF(U163=S163,1,MAX(0,MIN(1,(P163-S163)/(U163-S163)))))</x:f>
      </x:c>
    </x:row>
    <x:row r="164">
      <x:c r="A164" s="159" t="str">
        <x:f>IF(OR(A163="",A163&gt;=$D$2),"",A163+1)</x:f>
      </x:c>
      <x:c r="B164" s="162" t="str">
        <x:f>IF(A164="","",IFERROR(SUMPRODUCT(--('Project Plan'!$A$7:$A$206&lt;&gt;""),('Project Plan'!$P$7:$P$206+('Project Plan'!$P$7:$P$206="")),--('Project Plan'!$F$7:$F$206&lt;&gt;""),--('Project Plan'!$G$7:$G$206&lt;&gt;""),((A164&gt;='Project Plan'!$G$7:$G$206)+((A164&gt;='Project Plan'!$F$7:$F$206)*(A164&lt;'Project Plan'!$G$7:$G$206)*(A164-'Project Plan'!$F$7:$F$206+1)/('Project Plan'!$G$7:$G$206-'Project Plan'!$F$7:$F$206+1))))/SUMPRODUCT(--('Project Plan'!$A$7:$A$206&lt;&gt;""),('Project Plan'!$P$7:$P$206+('Project Plan'!$P$7:$P$206=""))),0))</x:f>
      </x:c>
      <x:c r="C164" s="162" t="str">
        <x:f>IF(A164="","",IF(A164&gt;$F$2,"",IF(A164=$F$2,$H$2,IFERROR(LOOKUP(2,1/(($G$7:$G$106&lt;&gt;"")*($G$7:$G$106&lt;=A164)),$H$7:$H$106),""))))</x:f>
      </x:c>
      <x:c r="D164" s="162" t="str">
        <x:f>IF(C164="","",C164-B164)</x:f>
      </x:c>
      <x:c r="E164" s="163" t="str">
        <x:f>IF(D164="","",IF(D164&gt;=0,"On / Ahead",IF(D164&gt;=-0.05,"Watch","Behind")))</x:f>
      </x:c>
      <x:c r="J164"/>
      <x:c r="K164"/>
      <x:c r="L164"/>
      <x:c r="M164" t="str">
        <x:f>IF(A164="","",TEXT(A164,"mmm d"))</x:f>
      </x:c>
      <x:c r="N164" s="14" t="e">
        <x:f>IF(B164="",NA(),B164)</x:f>
        <x:v>#N/A</x:v>
      </x:c>
      <x:c r="O164" s="14" t="e">
        <x:f>IF(OR(P164="",$B$2="",$F$2="",P164&lt;$B$2,P164&gt;$F$2),NA(),IF(Q164=0,IF($F$2=$B$2,$H$2,MAX(0,MIN(1,$H$2*(3*MAX(0,MIN(1,(P164-$B$2)/($F$2-$B$2)))^2-2*MAX(0,MIN(1,(P164-$B$2)/($F$2-$B$2)))^3)))),MAX(0,MIN(1,T164+(V164-T164)*(3*W164^2-2*W164^3)))))</x:f>
        <x:v>#N/A</x:v>
      </x:c>
      <x:c r="P164" s="189" t="str">
        <x:f>A164</x:f>
      </x:c>
      <x:c r="Q164" t="n">
        <x:f>COUNT($G$7:$G$106)</x:f>
        <x:v>0</x:v>
      </x:c>
      <x:c r="R164" t="str">
        <x:f>IF(OR(P164="",$B$2="",$F$2="",P164&lt;$B$2,P164&gt;$F$2),"",IF(Q164=0,0,IF(P164&lt;$G$7,0,IF(P164&gt;=INDEX($G$7:$G$106,Q164),Q164,MATCH(P164,$G$7:$G$106,1)))))</x:f>
      </x:c>
      <x:c r="S164" t="str">
        <x:f>IF(R164="","",IF(R164=0,$B$2,INDEX($G$7:$G$106,R164)))</x:f>
      </x:c>
      <x:c r="T164" s="14" t="str">
        <x:f>IF(R164="","",IF(R164=0,0,INDEX($H$7:$H$106,R164)))</x:f>
      </x:c>
      <x:c r="U164" t="str">
        <x:f>IF(R164="","",IF(Q164=0,$F$2,IF(R164=0,$G$7,IF(R164&lt;Q164,INDEX($G$7:$G$106,R164+1),$F$2))))</x:f>
      </x:c>
      <x:c r="V164" s="14" t="str">
        <x:f>IF(R164="","",IF(Q164=0,$H$2,IF(R164=0,$H$7,IF(R164&lt;Q164,INDEX($H$7:$H$106,R164+1),$H$2))))</x:f>
      </x:c>
      <x:c r="W164" s="188" t="str">
        <x:f>IF(R164="","",IF(U164=S164,1,MAX(0,MIN(1,(P164-S164)/(U164-S164)))))</x:f>
      </x:c>
    </x:row>
    <x:row r="165">
      <x:c r="A165" s="159" t="str">
        <x:f>IF(OR(A164="",A164&gt;=$D$2),"",A164+1)</x:f>
      </x:c>
      <x:c r="B165" s="162" t="str">
        <x:f>IF(A165="","",IFERROR(SUMPRODUCT(--('Project Plan'!$A$7:$A$206&lt;&gt;""),('Project Plan'!$P$7:$P$206+('Project Plan'!$P$7:$P$206="")),--('Project Plan'!$F$7:$F$206&lt;&gt;""),--('Project Plan'!$G$7:$G$206&lt;&gt;""),((A165&gt;='Project Plan'!$G$7:$G$206)+((A165&gt;='Project Plan'!$F$7:$F$206)*(A165&lt;'Project Plan'!$G$7:$G$206)*(A165-'Project Plan'!$F$7:$F$206+1)/('Project Plan'!$G$7:$G$206-'Project Plan'!$F$7:$F$206+1))))/SUMPRODUCT(--('Project Plan'!$A$7:$A$206&lt;&gt;""),('Project Plan'!$P$7:$P$206+('Project Plan'!$P$7:$P$206=""))),0))</x:f>
      </x:c>
      <x:c r="C165" s="162" t="str">
        <x:f>IF(A165="","",IF(A165&gt;$F$2,"",IF(A165=$F$2,$H$2,IFERROR(LOOKUP(2,1/(($G$7:$G$106&lt;&gt;"")*($G$7:$G$106&lt;=A165)),$H$7:$H$106),""))))</x:f>
      </x:c>
      <x:c r="D165" s="162" t="str">
        <x:f>IF(C165="","",C165-B165)</x:f>
      </x:c>
      <x:c r="E165" s="163" t="str">
        <x:f>IF(D165="","",IF(D165&gt;=0,"On / Ahead",IF(D165&gt;=-0.05,"Watch","Behind")))</x:f>
      </x:c>
      <x:c r="J165"/>
      <x:c r="K165"/>
      <x:c r="L165"/>
      <x:c r="M165" t="str">
        <x:f>IF(A165="","",TEXT(A165,"mmm d"))</x:f>
      </x:c>
      <x:c r="N165" s="14" t="e">
        <x:f>IF(B165="",NA(),B165)</x:f>
        <x:v>#N/A</x:v>
      </x:c>
      <x:c r="O165" s="14" t="e">
        <x:f>IF(OR(P165="",$B$2="",$F$2="",P165&lt;$B$2,P165&gt;$F$2),NA(),IF(Q165=0,IF($F$2=$B$2,$H$2,MAX(0,MIN(1,$H$2*(3*MAX(0,MIN(1,(P165-$B$2)/($F$2-$B$2)))^2-2*MAX(0,MIN(1,(P165-$B$2)/($F$2-$B$2)))^3)))),MAX(0,MIN(1,T165+(V165-T165)*(3*W165^2-2*W165^3)))))</x:f>
        <x:v>#N/A</x:v>
      </x:c>
      <x:c r="P165" s="189" t="str">
        <x:f>A165</x:f>
      </x:c>
      <x:c r="Q165" t="n">
        <x:f>COUNT($G$7:$G$106)</x:f>
        <x:v>0</x:v>
      </x:c>
      <x:c r="R165" t="str">
        <x:f>IF(OR(P165="",$B$2="",$F$2="",P165&lt;$B$2,P165&gt;$F$2),"",IF(Q165=0,0,IF(P165&lt;$G$7,0,IF(P165&gt;=INDEX($G$7:$G$106,Q165),Q165,MATCH(P165,$G$7:$G$106,1)))))</x:f>
      </x:c>
      <x:c r="S165" t="str">
        <x:f>IF(R165="","",IF(R165=0,$B$2,INDEX($G$7:$G$106,R165)))</x:f>
      </x:c>
      <x:c r="T165" s="14" t="str">
        <x:f>IF(R165="","",IF(R165=0,0,INDEX($H$7:$H$106,R165)))</x:f>
      </x:c>
      <x:c r="U165" t="str">
        <x:f>IF(R165="","",IF(Q165=0,$F$2,IF(R165=0,$G$7,IF(R165&lt;Q165,INDEX($G$7:$G$106,R165+1),$F$2))))</x:f>
      </x:c>
      <x:c r="V165" s="14" t="str">
        <x:f>IF(R165="","",IF(Q165=0,$H$2,IF(R165=0,$H$7,IF(R165&lt;Q165,INDEX($H$7:$H$106,R165+1),$H$2))))</x:f>
      </x:c>
      <x:c r="W165" s="188" t="str">
        <x:f>IF(R165="","",IF(U165=S165,1,MAX(0,MIN(1,(P165-S165)/(U165-S165)))))</x:f>
      </x:c>
    </x:row>
    <x:row r="166">
      <x:c r="A166" s="159" t="str">
        <x:f>IF(OR(A165="",A165&gt;=$D$2),"",A165+1)</x:f>
      </x:c>
      <x:c r="B166" s="162" t="str">
        <x:f>IF(A166="","",IFERROR(SUMPRODUCT(--('Project Plan'!$A$7:$A$206&lt;&gt;""),('Project Plan'!$P$7:$P$206+('Project Plan'!$P$7:$P$206="")),--('Project Plan'!$F$7:$F$206&lt;&gt;""),--('Project Plan'!$G$7:$G$206&lt;&gt;""),((A166&gt;='Project Plan'!$G$7:$G$206)+((A166&gt;='Project Plan'!$F$7:$F$206)*(A166&lt;'Project Plan'!$G$7:$G$206)*(A166-'Project Plan'!$F$7:$F$206+1)/('Project Plan'!$G$7:$G$206-'Project Plan'!$F$7:$F$206+1))))/SUMPRODUCT(--('Project Plan'!$A$7:$A$206&lt;&gt;""),('Project Plan'!$P$7:$P$206+('Project Plan'!$P$7:$P$206=""))),0))</x:f>
      </x:c>
      <x:c r="C166" s="162" t="str">
        <x:f>IF(A166="","",IF(A166&gt;$F$2,"",IF(A166=$F$2,$H$2,IFERROR(LOOKUP(2,1/(($G$7:$G$106&lt;&gt;"")*($G$7:$G$106&lt;=A166)),$H$7:$H$106),""))))</x:f>
      </x:c>
      <x:c r="D166" s="162" t="str">
        <x:f>IF(C166="","",C166-B166)</x:f>
      </x:c>
      <x:c r="E166" s="163" t="str">
        <x:f>IF(D166="","",IF(D166&gt;=0,"On / Ahead",IF(D166&gt;=-0.05,"Watch","Behind")))</x:f>
      </x:c>
      <x:c r="J166"/>
      <x:c r="K166"/>
      <x:c r="L166"/>
      <x:c r="M166" t="str">
        <x:f>IF(A166="","",TEXT(A166,"mmm d"))</x:f>
      </x:c>
      <x:c r="N166" s="14" t="e">
        <x:f>IF(B166="",NA(),B166)</x:f>
        <x:v>#N/A</x:v>
      </x:c>
      <x:c r="O166" s="14" t="e">
        <x:f>IF(OR(P166="",$B$2="",$F$2="",P166&lt;$B$2,P166&gt;$F$2),NA(),IF(Q166=0,IF($F$2=$B$2,$H$2,MAX(0,MIN(1,$H$2*(3*MAX(0,MIN(1,(P166-$B$2)/($F$2-$B$2)))^2-2*MAX(0,MIN(1,(P166-$B$2)/($F$2-$B$2)))^3)))),MAX(0,MIN(1,T166+(V166-T166)*(3*W166^2-2*W166^3)))))</x:f>
        <x:v>#N/A</x:v>
      </x:c>
      <x:c r="P166" s="189" t="str">
        <x:f>A166</x:f>
      </x:c>
      <x:c r="Q166" t="n">
        <x:f>COUNT($G$7:$G$106)</x:f>
        <x:v>0</x:v>
      </x:c>
      <x:c r="R166" t="str">
        <x:f>IF(OR(P166="",$B$2="",$F$2="",P166&lt;$B$2,P166&gt;$F$2),"",IF(Q166=0,0,IF(P166&lt;$G$7,0,IF(P166&gt;=INDEX($G$7:$G$106,Q166),Q166,MATCH(P166,$G$7:$G$106,1)))))</x:f>
      </x:c>
      <x:c r="S166" t="str">
        <x:f>IF(R166="","",IF(R166=0,$B$2,INDEX($G$7:$G$106,R166)))</x:f>
      </x:c>
      <x:c r="T166" s="14" t="str">
        <x:f>IF(R166="","",IF(R166=0,0,INDEX($H$7:$H$106,R166)))</x:f>
      </x:c>
      <x:c r="U166" t="str">
        <x:f>IF(R166="","",IF(Q166=0,$F$2,IF(R166=0,$G$7,IF(R166&lt;Q166,INDEX($G$7:$G$106,R166+1),$F$2))))</x:f>
      </x:c>
      <x:c r="V166" s="14" t="str">
        <x:f>IF(R166="","",IF(Q166=0,$H$2,IF(R166=0,$H$7,IF(R166&lt;Q166,INDEX($H$7:$H$106,R166+1),$H$2))))</x:f>
      </x:c>
      <x:c r="W166" s="188" t="str">
        <x:f>IF(R166="","",IF(U166=S166,1,MAX(0,MIN(1,(P166-S166)/(U166-S166)))))</x:f>
      </x:c>
    </x:row>
    <x:row r="167">
      <x:c r="A167" s="159" t="str">
        <x:f>IF(OR(A166="",A166&gt;=$D$2),"",A166+1)</x:f>
      </x:c>
      <x:c r="B167" s="162" t="str">
        <x:f>IF(A167="","",IFERROR(SUMPRODUCT(--('Project Plan'!$A$7:$A$206&lt;&gt;""),('Project Plan'!$P$7:$P$206+('Project Plan'!$P$7:$P$206="")),--('Project Plan'!$F$7:$F$206&lt;&gt;""),--('Project Plan'!$G$7:$G$206&lt;&gt;""),((A167&gt;='Project Plan'!$G$7:$G$206)+((A167&gt;='Project Plan'!$F$7:$F$206)*(A167&lt;'Project Plan'!$G$7:$G$206)*(A167-'Project Plan'!$F$7:$F$206+1)/('Project Plan'!$G$7:$G$206-'Project Plan'!$F$7:$F$206+1))))/SUMPRODUCT(--('Project Plan'!$A$7:$A$206&lt;&gt;""),('Project Plan'!$P$7:$P$206+('Project Plan'!$P$7:$P$206=""))),0))</x:f>
      </x:c>
      <x:c r="C167" s="162" t="str">
        <x:f>IF(A167="","",IF(A167&gt;$F$2,"",IF(A167=$F$2,$H$2,IFERROR(LOOKUP(2,1/(($G$7:$G$106&lt;&gt;"")*($G$7:$G$106&lt;=A167)),$H$7:$H$106),""))))</x:f>
      </x:c>
      <x:c r="D167" s="162" t="str">
        <x:f>IF(C167="","",C167-B167)</x:f>
      </x:c>
      <x:c r="E167" s="163" t="str">
        <x:f>IF(D167="","",IF(D167&gt;=0,"On / Ahead",IF(D167&gt;=-0.05,"Watch","Behind")))</x:f>
      </x:c>
      <x:c r="J167"/>
      <x:c r="K167"/>
      <x:c r="L167"/>
      <x:c r="M167" t="str">
        <x:f>IF(A167="","",TEXT(A167,"mmm d"))</x:f>
      </x:c>
      <x:c r="N167" s="14" t="e">
        <x:f>IF(B167="",NA(),B167)</x:f>
        <x:v>#N/A</x:v>
      </x:c>
      <x:c r="O167" s="14" t="e">
        <x:f>IF(OR(P167="",$B$2="",$F$2="",P167&lt;$B$2,P167&gt;$F$2),NA(),IF(Q167=0,IF($F$2=$B$2,$H$2,MAX(0,MIN(1,$H$2*(3*MAX(0,MIN(1,(P167-$B$2)/($F$2-$B$2)))^2-2*MAX(0,MIN(1,(P167-$B$2)/($F$2-$B$2)))^3)))),MAX(0,MIN(1,T167+(V167-T167)*(3*W167^2-2*W167^3)))))</x:f>
        <x:v>#N/A</x:v>
      </x:c>
      <x:c r="P167" s="189" t="str">
        <x:f>A167</x:f>
      </x:c>
      <x:c r="Q167" t="n">
        <x:f>COUNT($G$7:$G$106)</x:f>
        <x:v>0</x:v>
      </x:c>
      <x:c r="R167" t="str">
        <x:f>IF(OR(P167="",$B$2="",$F$2="",P167&lt;$B$2,P167&gt;$F$2),"",IF(Q167=0,0,IF(P167&lt;$G$7,0,IF(P167&gt;=INDEX($G$7:$G$106,Q167),Q167,MATCH(P167,$G$7:$G$106,1)))))</x:f>
      </x:c>
      <x:c r="S167" t="str">
        <x:f>IF(R167="","",IF(R167=0,$B$2,INDEX($G$7:$G$106,R167)))</x:f>
      </x:c>
      <x:c r="T167" s="14" t="str">
        <x:f>IF(R167="","",IF(R167=0,0,INDEX($H$7:$H$106,R167)))</x:f>
      </x:c>
      <x:c r="U167" t="str">
        <x:f>IF(R167="","",IF(Q167=0,$F$2,IF(R167=0,$G$7,IF(R167&lt;Q167,INDEX($G$7:$G$106,R167+1),$F$2))))</x:f>
      </x:c>
      <x:c r="V167" s="14" t="str">
        <x:f>IF(R167="","",IF(Q167=0,$H$2,IF(R167=0,$H$7,IF(R167&lt;Q167,INDEX($H$7:$H$106,R167+1),$H$2))))</x:f>
      </x:c>
      <x:c r="W167" s="188" t="str">
        <x:f>IF(R167="","",IF(U167=S167,1,MAX(0,MIN(1,(P167-S167)/(U167-S167)))))</x:f>
      </x:c>
    </x:row>
    <x:row r="168">
      <x:c r="A168" s="159" t="str">
        <x:f>IF(OR(A167="",A167&gt;=$D$2),"",A167+1)</x:f>
      </x:c>
      <x:c r="B168" s="162" t="str">
        <x:f>IF(A168="","",IFERROR(SUMPRODUCT(--('Project Plan'!$A$7:$A$206&lt;&gt;""),('Project Plan'!$P$7:$P$206+('Project Plan'!$P$7:$P$206="")),--('Project Plan'!$F$7:$F$206&lt;&gt;""),--('Project Plan'!$G$7:$G$206&lt;&gt;""),((A168&gt;='Project Plan'!$G$7:$G$206)+((A168&gt;='Project Plan'!$F$7:$F$206)*(A168&lt;'Project Plan'!$G$7:$G$206)*(A168-'Project Plan'!$F$7:$F$206+1)/('Project Plan'!$G$7:$G$206-'Project Plan'!$F$7:$F$206+1))))/SUMPRODUCT(--('Project Plan'!$A$7:$A$206&lt;&gt;""),('Project Plan'!$P$7:$P$206+('Project Plan'!$P$7:$P$206=""))),0))</x:f>
      </x:c>
      <x:c r="C168" s="162" t="str">
        <x:f>IF(A168="","",IF(A168&gt;$F$2,"",IF(A168=$F$2,$H$2,IFERROR(LOOKUP(2,1/(($G$7:$G$106&lt;&gt;"")*($G$7:$G$106&lt;=A168)),$H$7:$H$106),""))))</x:f>
      </x:c>
      <x:c r="D168" s="162" t="str">
        <x:f>IF(C168="","",C168-B168)</x:f>
      </x:c>
      <x:c r="E168" s="163" t="str">
        <x:f>IF(D168="","",IF(D168&gt;=0,"On / Ahead",IF(D168&gt;=-0.05,"Watch","Behind")))</x:f>
      </x:c>
      <x:c r="J168"/>
      <x:c r="K168"/>
      <x:c r="L168"/>
      <x:c r="M168" t="str">
        <x:f>IF(A168="","",TEXT(A168,"mmm d"))</x:f>
      </x:c>
      <x:c r="N168" s="14" t="e">
        <x:f>IF(B168="",NA(),B168)</x:f>
        <x:v>#N/A</x:v>
      </x:c>
      <x:c r="O168" s="14" t="e">
        <x:f>IF(OR(P168="",$B$2="",$F$2="",P168&lt;$B$2,P168&gt;$F$2),NA(),IF(Q168=0,IF($F$2=$B$2,$H$2,MAX(0,MIN(1,$H$2*(3*MAX(0,MIN(1,(P168-$B$2)/($F$2-$B$2)))^2-2*MAX(0,MIN(1,(P168-$B$2)/($F$2-$B$2)))^3)))),MAX(0,MIN(1,T168+(V168-T168)*(3*W168^2-2*W168^3)))))</x:f>
        <x:v>#N/A</x:v>
      </x:c>
      <x:c r="P168" s="189" t="str">
        <x:f>A168</x:f>
      </x:c>
      <x:c r="Q168" t="n">
        <x:f>COUNT($G$7:$G$106)</x:f>
        <x:v>0</x:v>
      </x:c>
      <x:c r="R168" t="str">
        <x:f>IF(OR(P168="",$B$2="",$F$2="",P168&lt;$B$2,P168&gt;$F$2),"",IF(Q168=0,0,IF(P168&lt;$G$7,0,IF(P168&gt;=INDEX($G$7:$G$106,Q168),Q168,MATCH(P168,$G$7:$G$106,1)))))</x:f>
      </x:c>
      <x:c r="S168" t="str">
        <x:f>IF(R168="","",IF(R168=0,$B$2,INDEX($G$7:$G$106,R168)))</x:f>
      </x:c>
      <x:c r="T168" s="14" t="str">
        <x:f>IF(R168="","",IF(R168=0,0,INDEX($H$7:$H$106,R168)))</x:f>
      </x:c>
      <x:c r="U168" t="str">
        <x:f>IF(R168="","",IF(Q168=0,$F$2,IF(R168=0,$G$7,IF(R168&lt;Q168,INDEX($G$7:$G$106,R168+1),$F$2))))</x:f>
      </x:c>
      <x:c r="V168" s="14" t="str">
        <x:f>IF(R168="","",IF(Q168=0,$H$2,IF(R168=0,$H$7,IF(R168&lt;Q168,INDEX($H$7:$H$106,R168+1),$H$2))))</x:f>
      </x:c>
      <x:c r="W168" s="188" t="str">
        <x:f>IF(R168="","",IF(U168=S168,1,MAX(0,MIN(1,(P168-S168)/(U168-S168)))))</x:f>
      </x:c>
    </x:row>
    <x:row r="169">
      <x:c r="A169" s="159" t="str">
        <x:f>IF(OR(A168="",A168&gt;=$D$2),"",A168+1)</x:f>
      </x:c>
      <x:c r="B169" s="162" t="str">
        <x:f>IF(A169="","",IFERROR(SUMPRODUCT(--('Project Plan'!$A$7:$A$206&lt;&gt;""),('Project Plan'!$P$7:$P$206+('Project Plan'!$P$7:$P$206="")),--('Project Plan'!$F$7:$F$206&lt;&gt;""),--('Project Plan'!$G$7:$G$206&lt;&gt;""),((A169&gt;='Project Plan'!$G$7:$G$206)+((A169&gt;='Project Plan'!$F$7:$F$206)*(A169&lt;'Project Plan'!$G$7:$G$206)*(A169-'Project Plan'!$F$7:$F$206+1)/('Project Plan'!$G$7:$G$206-'Project Plan'!$F$7:$F$206+1))))/SUMPRODUCT(--('Project Plan'!$A$7:$A$206&lt;&gt;""),('Project Plan'!$P$7:$P$206+('Project Plan'!$P$7:$P$206=""))),0))</x:f>
      </x:c>
      <x:c r="C169" s="162" t="str">
        <x:f>IF(A169="","",IF(A169&gt;$F$2,"",IF(A169=$F$2,$H$2,IFERROR(LOOKUP(2,1/(($G$7:$G$106&lt;&gt;"")*($G$7:$G$106&lt;=A169)),$H$7:$H$106),""))))</x:f>
      </x:c>
      <x:c r="D169" s="162" t="str">
        <x:f>IF(C169="","",C169-B169)</x:f>
      </x:c>
      <x:c r="E169" s="163" t="str">
        <x:f>IF(D169="","",IF(D169&gt;=0,"On / Ahead",IF(D169&gt;=-0.05,"Watch","Behind")))</x:f>
      </x:c>
      <x:c r="J169"/>
      <x:c r="K169"/>
      <x:c r="L169"/>
      <x:c r="M169" t="str">
        <x:f>IF(A169="","",TEXT(A169,"mmm d"))</x:f>
      </x:c>
      <x:c r="N169" s="14" t="e">
        <x:f>IF(B169="",NA(),B169)</x:f>
        <x:v>#N/A</x:v>
      </x:c>
      <x:c r="O169" s="14" t="e">
        <x:f>IF(OR(P169="",$B$2="",$F$2="",P169&lt;$B$2,P169&gt;$F$2),NA(),IF(Q169=0,IF($F$2=$B$2,$H$2,MAX(0,MIN(1,$H$2*(3*MAX(0,MIN(1,(P169-$B$2)/($F$2-$B$2)))^2-2*MAX(0,MIN(1,(P169-$B$2)/($F$2-$B$2)))^3)))),MAX(0,MIN(1,T169+(V169-T169)*(3*W169^2-2*W169^3)))))</x:f>
        <x:v>#N/A</x:v>
      </x:c>
      <x:c r="P169" s="189" t="str">
        <x:f>A169</x:f>
      </x:c>
      <x:c r="Q169" t="n">
        <x:f>COUNT($G$7:$G$106)</x:f>
        <x:v>0</x:v>
      </x:c>
      <x:c r="R169" t="str">
        <x:f>IF(OR(P169="",$B$2="",$F$2="",P169&lt;$B$2,P169&gt;$F$2),"",IF(Q169=0,0,IF(P169&lt;$G$7,0,IF(P169&gt;=INDEX($G$7:$G$106,Q169),Q169,MATCH(P169,$G$7:$G$106,1)))))</x:f>
      </x:c>
      <x:c r="S169" t="str">
        <x:f>IF(R169="","",IF(R169=0,$B$2,INDEX($G$7:$G$106,R169)))</x:f>
      </x:c>
      <x:c r="T169" s="14" t="str">
        <x:f>IF(R169="","",IF(R169=0,0,INDEX($H$7:$H$106,R169)))</x:f>
      </x:c>
      <x:c r="U169" t="str">
        <x:f>IF(R169="","",IF(Q169=0,$F$2,IF(R169=0,$G$7,IF(R169&lt;Q169,INDEX($G$7:$G$106,R169+1),$F$2))))</x:f>
      </x:c>
      <x:c r="V169" s="14" t="str">
        <x:f>IF(R169="","",IF(Q169=0,$H$2,IF(R169=0,$H$7,IF(R169&lt;Q169,INDEX($H$7:$H$106,R169+1),$H$2))))</x:f>
      </x:c>
      <x:c r="W169" s="188" t="str">
        <x:f>IF(R169="","",IF(U169=S169,1,MAX(0,MIN(1,(P169-S169)/(U169-S169)))))</x:f>
      </x:c>
    </x:row>
    <x:row r="170">
      <x:c r="A170" s="159" t="str">
        <x:f>IF(OR(A169="",A169&gt;=$D$2),"",A169+1)</x:f>
      </x:c>
      <x:c r="B170" s="162" t="str">
        <x:f>IF(A170="","",IFERROR(SUMPRODUCT(--('Project Plan'!$A$7:$A$206&lt;&gt;""),('Project Plan'!$P$7:$P$206+('Project Plan'!$P$7:$P$206="")),--('Project Plan'!$F$7:$F$206&lt;&gt;""),--('Project Plan'!$G$7:$G$206&lt;&gt;""),((A170&gt;='Project Plan'!$G$7:$G$206)+((A170&gt;='Project Plan'!$F$7:$F$206)*(A170&lt;'Project Plan'!$G$7:$G$206)*(A170-'Project Plan'!$F$7:$F$206+1)/('Project Plan'!$G$7:$G$206-'Project Plan'!$F$7:$F$206+1))))/SUMPRODUCT(--('Project Plan'!$A$7:$A$206&lt;&gt;""),('Project Plan'!$P$7:$P$206+('Project Plan'!$P$7:$P$206=""))),0))</x:f>
      </x:c>
      <x:c r="C170" s="162" t="str">
        <x:f>IF(A170="","",IF(A170&gt;$F$2,"",IF(A170=$F$2,$H$2,IFERROR(LOOKUP(2,1/(($G$7:$G$106&lt;&gt;"")*($G$7:$G$106&lt;=A170)),$H$7:$H$106),""))))</x:f>
      </x:c>
      <x:c r="D170" s="162" t="str">
        <x:f>IF(C170="","",C170-B170)</x:f>
      </x:c>
      <x:c r="E170" s="163" t="str">
        <x:f>IF(D170="","",IF(D170&gt;=0,"On / Ahead",IF(D170&gt;=-0.05,"Watch","Behind")))</x:f>
      </x:c>
      <x:c r="J170"/>
      <x:c r="K170"/>
      <x:c r="L170"/>
      <x:c r="M170" t="str">
        <x:f>IF(A170="","",TEXT(A170,"mmm d"))</x:f>
      </x:c>
      <x:c r="N170" s="14" t="e">
        <x:f>IF(B170="",NA(),B170)</x:f>
        <x:v>#N/A</x:v>
      </x:c>
      <x:c r="O170" s="14" t="e">
        <x:f>IF(OR(P170="",$B$2="",$F$2="",P170&lt;$B$2,P170&gt;$F$2),NA(),IF(Q170=0,IF($F$2=$B$2,$H$2,MAX(0,MIN(1,$H$2*(3*MAX(0,MIN(1,(P170-$B$2)/($F$2-$B$2)))^2-2*MAX(0,MIN(1,(P170-$B$2)/($F$2-$B$2)))^3)))),MAX(0,MIN(1,T170+(V170-T170)*(3*W170^2-2*W170^3)))))</x:f>
        <x:v>#N/A</x:v>
      </x:c>
      <x:c r="P170" s="189" t="str">
        <x:f>A170</x:f>
      </x:c>
      <x:c r="Q170" t="n">
        <x:f>COUNT($G$7:$G$106)</x:f>
        <x:v>0</x:v>
      </x:c>
      <x:c r="R170" t="str">
        <x:f>IF(OR(P170="",$B$2="",$F$2="",P170&lt;$B$2,P170&gt;$F$2),"",IF(Q170=0,0,IF(P170&lt;$G$7,0,IF(P170&gt;=INDEX($G$7:$G$106,Q170),Q170,MATCH(P170,$G$7:$G$106,1)))))</x:f>
      </x:c>
      <x:c r="S170" t="str">
        <x:f>IF(R170="","",IF(R170=0,$B$2,INDEX($G$7:$G$106,R170)))</x:f>
      </x:c>
      <x:c r="T170" s="14" t="str">
        <x:f>IF(R170="","",IF(R170=0,0,INDEX($H$7:$H$106,R170)))</x:f>
      </x:c>
      <x:c r="U170" t="str">
        <x:f>IF(R170="","",IF(Q170=0,$F$2,IF(R170=0,$G$7,IF(R170&lt;Q170,INDEX($G$7:$G$106,R170+1),$F$2))))</x:f>
      </x:c>
      <x:c r="V170" s="14" t="str">
        <x:f>IF(R170="","",IF(Q170=0,$H$2,IF(R170=0,$H$7,IF(R170&lt;Q170,INDEX($H$7:$H$106,R170+1),$H$2))))</x:f>
      </x:c>
      <x:c r="W170" s="188" t="str">
        <x:f>IF(R170="","",IF(U170=S170,1,MAX(0,MIN(1,(P170-S170)/(U170-S170)))))</x:f>
      </x:c>
    </x:row>
    <x:row r="171">
      <x:c r="A171" s="159" t="str">
        <x:f>IF(OR(A170="",A170&gt;=$D$2),"",A170+1)</x:f>
      </x:c>
      <x:c r="B171" s="162" t="str">
        <x:f>IF(A171="","",IFERROR(SUMPRODUCT(--('Project Plan'!$A$7:$A$206&lt;&gt;""),('Project Plan'!$P$7:$P$206+('Project Plan'!$P$7:$P$206="")),--('Project Plan'!$F$7:$F$206&lt;&gt;""),--('Project Plan'!$G$7:$G$206&lt;&gt;""),((A171&gt;='Project Plan'!$G$7:$G$206)+((A171&gt;='Project Plan'!$F$7:$F$206)*(A171&lt;'Project Plan'!$G$7:$G$206)*(A171-'Project Plan'!$F$7:$F$206+1)/('Project Plan'!$G$7:$G$206-'Project Plan'!$F$7:$F$206+1))))/SUMPRODUCT(--('Project Plan'!$A$7:$A$206&lt;&gt;""),('Project Plan'!$P$7:$P$206+('Project Plan'!$P$7:$P$206=""))),0))</x:f>
      </x:c>
      <x:c r="C171" s="162" t="str">
        <x:f>IF(A171="","",IF(A171&gt;$F$2,"",IF(A171=$F$2,$H$2,IFERROR(LOOKUP(2,1/(($G$7:$G$106&lt;&gt;"")*($G$7:$G$106&lt;=A171)),$H$7:$H$106),""))))</x:f>
      </x:c>
      <x:c r="D171" s="162" t="str">
        <x:f>IF(C171="","",C171-B171)</x:f>
      </x:c>
      <x:c r="E171" s="163" t="str">
        <x:f>IF(D171="","",IF(D171&gt;=0,"On / Ahead",IF(D171&gt;=-0.05,"Watch","Behind")))</x:f>
      </x:c>
      <x:c r="J171"/>
      <x:c r="K171"/>
      <x:c r="L171"/>
      <x:c r="M171" t="str">
        <x:f>IF(A171="","",TEXT(A171,"mmm d"))</x:f>
      </x:c>
      <x:c r="N171" s="14" t="e">
        <x:f>IF(B171="",NA(),B171)</x:f>
        <x:v>#N/A</x:v>
      </x:c>
      <x:c r="O171" s="14" t="e">
        <x:f>IF(OR(P171="",$B$2="",$F$2="",P171&lt;$B$2,P171&gt;$F$2),NA(),IF(Q171=0,IF($F$2=$B$2,$H$2,MAX(0,MIN(1,$H$2*(3*MAX(0,MIN(1,(P171-$B$2)/($F$2-$B$2)))^2-2*MAX(0,MIN(1,(P171-$B$2)/($F$2-$B$2)))^3)))),MAX(0,MIN(1,T171+(V171-T171)*(3*W171^2-2*W171^3)))))</x:f>
        <x:v>#N/A</x:v>
      </x:c>
      <x:c r="P171" s="189" t="str">
        <x:f>A171</x:f>
      </x:c>
      <x:c r="Q171" t="n">
        <x:f>COUNT($G$7:$G$106)</x:f>
        <x:v>0</x:v>
      </x:c>
      <x:c r="R171" t="str">
        <x:f>IF(OR(P171="",$B$2="",$F$2="",P171&lt;$B$2,P171&gt;$F$2),"",IF(Q171=0,0,IF(P171&lt;$G$7,0,IF(P171&gt;=INDEX($G$7:$G$106,Q171),Q171,MATCH(P171,$G$7:$G$106,1)))))</x:f>
      </x:c>
      <x:c r="S171" t="str">
        <x:f>IF(R171="","",IF(R171=0,$B$2,INDEX($G$7:$G$106,R171)))</x:f>
      </x:c>
      <x:c r="T171" s="14" t="str">
        <x:f>IF(R171="","",IF(R171=0,0,INDEX($H$7:$H$106,R171)))</x:f>
      </x:c>
      <x:c r="U171" t="str">
        <x:f>IF(R171="","",IF(Q171=0,$F$2,IF(R171=0,$G$7,IF(R171&lt;Q171,INDEX($G$7:$G$106,R171+1),$F$2))))</x:f>
      </x:c>
      <x:c r="V171" s="14" t="str">
        <x:f>IF(R171="","",IF(Q171=0,$H$2,IF(R171=0,$H$7,IF(R171&lt;Q171,INDEX($H$7:$H$106,R171+1),$H$2))))</x:f>
      </x:c>
      <x:c r="W171" s="188" t="str">
        <x:f>IF(R171="","",IF(U171=S171,1,MAX(0,MIN(1,(P171-S171)/(U171-S171)))))</x:f>
      </x:c>
    </x:row>
    <x:row r="172">
      <x:c r="A172" s="159" t="str">
        <x:f>IF(OR(A171="",A171&gt;=$D$2),"",A171+1)</x:f>
      </x:c>
      <x:c r="B172" s="162" t="str">
        <x:f>IF(A172="","",IFERROR(SUMPRODUCT(--('Project Plan'!$A$7:$A$206&lt;&gt;""),('Project Plan'!$P$7:$P$206+('Project Plan'!$P$7:$P$206="")),--('Project Plan'!$F$7:$F$206&lt;&gt;""),--('Project Plan'!$G$7:$G$206&lt;&gt;""),((A172&gt;='Project Plan'!$G$7:$G$206)+((A172&gt;='Project Plan'!$F$7:$F$206)*(A172&lt;'Project Plan'!$G$7:$G$206)*(A172-'Project Plan'!$F$7:$F$206+1)/('Project Plan'!$G$7:$G$206-'Project Plan'!$F$7:$F$206+1))))/SUMPRODUCT(--('Project Plan'!$A$7:$A$206&lt;&gt;""),('Project Plan'!$P$7:$P$206+('Project Plan'!$P$7:$P$206=""))),0))</x:f>
      </x:c>
      <x:c r="C172" s="162" t="str">
        <x:f>IF(A172="","",IF(A172&gt;$F$2,"",IF(A172=$F$2,$H$2,IFERROR(LOOKUP(2,1/(($G$7:$G$106&lt;&gt;"")*($G$7:$G$106&lt;=A172)),$H$7:$H$106),""))))</x:f>
      </x:c>
      <x:c r="D172" s="162" t="str">
        <x:f>IF(C172="","",C172-B172)</x:f>
      </x:c>
      <x:c r="E172" s="163" t="str">
        <x:f>IF(D172="","",IF(D172&gt;=0,"On / Ahead",IF(D172&gt;=-0.05,"Watch","Behind")))</x:f>
      </x:c>
      <x:c r="J172"/>
      <x:c r="K172"/>
      <x:c r="L172"/>
      <x:c r="M172" t="str">
        <x:f>IF(A172="","",TEXT(A172,"mmm d"))</x:f>
      </x:c>
      <x:c r="N172" s="14" t="e">
        <x:f>IF(B172="",NA(),B172)</x:f>
        <x:v>#N/A</x:v>
      </x:c>
      <x:c r="O172" s="14" t="e">
        <x:f>IF(OR(P172="",$B$2="",$F$2="",P172&lt;$B$2,P172&gt;$F$2),NA(),IF(Q172=0,IF($F$2=$B$2,$H$2,MAX(0,MIN(1,$H$2*(3*MAX(0,MIN(1,(P172-$B$2)/($F$2-$B$2)))^2-2*MAX(0,MIN(1,(P172-$B$2)/($F$2-$B$2)))^3)))),MAX(0,MIN(1,T172+(V172-T172)*(3*W172^2-2*W172^3)))))</x:f>
        <x:v>#N/A</x:v>
      </x:c>
      <x:c r="P172" s="189" t="str">
        <x:f>A172</x:f>
      </x:c>
      <x:c r="Q172" t="n">
        <x:f>COUNT($G$7:$G$106)</x:f>
        <x:v>0</x:v>
      </x:c>
      <x:c r="R172" t="str">
        <x:f>IF(OR(P172="",$B$2="",$F$2="",P172&lt;$B$2,P172&gt;$F$2),"",IF(Q172=0,0,IF(P172&lt;$G$7,0,IF(P172&gt;=INDEX($G$7:$G$106,Q172),Q172,MATCH(P172,$G$7:$G$106,1)))))</x:f>
      </x:c>
      <x:c r="S172" t="str">
        <x:f>IF(R172="","",IF(R172=0,$B$2,INDEX($G$7:$G$106,R172)))</x:f>
      </x:c>
      <x:c r="T172" s="14" t="str">
        <x:f>IF(R172="","",IF(R172=0,0,INDEX($H$7:$H$106,R172)))</x:f>
      </x:c>
      <x:c r="U172" t="str">
        <x:f>IF(R172="","",IF(Q172=0,$F$2,IF(R172=0,$G$7,IF(R172&lt;Q172,INDEX($G$7:$G$106,R172+1),$F$2))))</x:f>
      </x:c>
      <x:c r="V172" s="14" t="str">
        <x:f>IF(R172="","",IF(Q172=0,$H$2,IF(R172=0,$H$7,IF(R172&lt;Q172,INDEX($H$7:$H$106,R172+1),$H$2))))</x:f>
      </x:c>
      <x:c r="W172" s="188" t="str">
        <x:f>IF(R172="","",IF(U172=S172,1,MAX(0,MIN(1,(P172-S172)/(U172-S172)))))</x:f>
      </x:c>
    </x:row>
    <x:row r="173">
      <x:c r="A173" s="159" t="str">
        <x:f>IF(OR(A172="",A172&gt;=$D$2),"",A172+1)</x:f>
      </x:c>
      <x:c r="B173" s="162" t="str">
        <x:f>IF(A173="","",IFERROR(SUMPRODUCT(--('Project Plan'!$A$7:$A$206&lt;&gt;""),('Project Plan'!$P$7:$P$206+('Project Plan'!$P$7:$P$206="")),--('Project Plan'!$F$7:$F$206&lt;&gt;""),--('Project Plan'!$G$7:$G$206&lt;&gt;""),((A173&gt;='Project Plan'!$G$7:$G$206)+((A173&gt;='Project Plan'!$F$7:$F$206)*(A173&lt;'Project Plan'!$G$7:$G$206)*(A173-'Project Plan'!$F$7:$F$206+1)/('Project Plan'!$G$7:$G$206-'Project Plan'!$F$7:$F$206+1))))/SUMPRODUCT(--('Project Plan'!$A$7:$A$206&lt;&gt;""),('Project Plan'!$P$7:$P$206+('Project Plan'!$P$7:$P$206=""))),0))</x:f>
      </x:c>
      <x:c r="C173" s="162" t="str">
        <x:f>IF(A173="","",IF(A173&gt;$F$2,"",IF(A173=$F$2,$H$2,IFERROR(LOOKUP(2,1/(($G$7:$G$106&lt;&gt;"")*($G$7:$G$106&lt;=A173)),$H$7:$H$106),""))))</x:f>
      </x:c>
      <x:c r="D173" s="162" t="str">
        <x:f>IF(C173="","",C173-B173)</x:f>
      </x:c>
      <x:c r="E173" s="163" t="str">
        <x:f>IF(D173="","",IF(D173&gt;=0,"On / Ahead",IF(D173&gt;=-0.05,"Watch","Behind")))</x:f>
      </x:c>
      <x:c r="J173"/>
      <x:c r="K173"/>
      <x:c r="L173"/>
      <x:c r="M173" t="str">
        <x:f>IF(A173="","",TEXT(A173,"mmm d"))</x:f>
      </x:c>
      <x:c r="N173" s="14" t="e">
        <x:f>IF(B173="",NA(),B173)</x:f>
        <x:v>#N/A</x:v>
      </x:c>
      <x:c r="O173" s="14" t="e">
        <x:f>IF(OR(P173="",$B$2="",$F$2="",P173&lt;$B$2,P173&gt;$F$2),NA(),IF(Q173=0,IF($F$2=$B$2,$H$2,MAX(0,MIN(1,$H$2*(3*MAX(0,MIN(1,(P173-$B$2)/($F$2-$B$2)))^2-2*MAX(0,MIN(1,(P173-$B$2)/($F$2-$B$2)))^3)))),MAX(0,MIN(1,T173+(V173-T173)*(3*W173^2-2*W173^3)))))</x:f>
        <x:v>#N/A</x:v>
      </x:c>
      <x:c r="P173" s="189" t="str">
        <x:f>A173</x:f>
      </x:c>
      <x:c r="Q173" t="n">
        <x:f>COUNT($G$7:$G$106)</x:f>
        <x:v>0</x:v>
      </x:c>
      <x:c r="R173" t="str">
        <x:f>IF(OR(P173="",$B$2="",$F$2="",P173&lt;$B$2,P173&gt;$F$2),"",IF(Q173=0,0,IF(P173&lt;$G$7,0,IF(P173&gt;=INDEX($G$7:$G$106,Q173),Q173,MATCH(P173,$G$7:$G$106,1)))))</x:f>
      </x:c>
      <x:c r="S173" t="str">
        <x:f>IF(R173="","",IF(R173=0,$B$2,INDEX($G$7:$G$106,R173)))</x:f>
      </x:c>
      <x:c r="T173" s="14" t="str">
        <x:f>IF(R173="","",IF(R173=0,0,INDEX($H$7:$H$106,R173)))</x:f>
      </x:c>
      <x:c r="U173" t="str">
        <x:f>IF(R173="","",IF(Q173=0,$F$2,IF(R173=0,$G$7,IF(R173&lt;Q173,INDEX($G$7:$G$106,R173+1),$F$2))))</x:f>
      </x:c>
      <x:c r="V173" s="14" t="str">
        <x:f>IF(R173="","",IF(Q173=0,$H$2,IF(R173=0,$H$7,IF(R173&lt;Q173,INDEX($H$7:$H$106,R173+1),$H$2))))</x:f>
      </x:c>
      <x:c r="W173" s="188" t="str">
        <x:f>IF(R173="","",IF(U173=S173,1,MAX(0,MIN(1,(P173-S173)/(U173-S173)))))</x:f>
      </x:c>
    </x:row>
    <x:row r="174">
      <x:c r="A174" s="159" t="str">
        <x:f>IF(OR(A173="",A173&gt;=$D$2),"",A173+1)</x:f>
      </x:c>
      <x:c r="B174" s="162" t="str">
        <x:f>IF(A174="","",IFERROR(SUMPRODUCT(--('Project Plan'!$A$7:$A$206&lt;&gt;""),('Project Plan'!$P$7:$P$206+('Project Plan'!$P$7:$P$206="")),--('Project Plan'!$F$7:$F$206&lt;&gt;""),--('Project Plan'!$G$7:$G$206&lt;&gt;""),((A174&gt;='Project Plan'!$G$7:$G$206)+((A174&gt;='Project Plan'!$F$7:$F$206)*(A174&lt;'Project Plan'!$G$7:$G$206)*(A174-'Project Plan'!$F$7:$F$206+1)/('Project Plan'!$G$7:$G$206-'Project Plan'!$F$7:$F$206+1))))/SUMPRODUCT(--('Project Plan'!$A$7:$A$206&lt;&gt;""),('Project Plan'!$P$7:$P$206+('Project Plan'!$P$7:$P$206=""))),0))</x:f>
      </x:c>
      <x:c r="C174" s="162" t="str">
        <x:f>IF(A174="","",IF(A174&gt;$F$2,"",IF(A174=$F$2,$H$2,IFERROR(LOOKUP(2,1/(($G$7:$G$106&lt;&gt;"")*($G$7:$G$106&lt;=A174)),$H$7:$H$106),""))))</x:f>
      </x:c>
      <x:c r="D174" s="162" t="str">
        <x:f>IF(C174="","",C174-B174)</x:f>
      </x:c>
      <x:c r="E174" s="163" t="str">
        <x:f>IF(D174="","",IF(D174&gt;=0,"On / Ahead",IF(D174&gt;=-0.05,"Watch","Behind")))</x:f>
      </x:c>
      <x:c r="J174"/>
      <x:c r="K174"/>
      <x:c r="L174"/>
      <x:c r="M174" t="str">
        <x:f>IF(A174="","",TEXT(A174,"mmm d"))</x:f>
      </x:c>
      <x:c r="N174" s="14" t="e">
        <x:f>IF(B174="",NA(),B174)</x:f>
        <x:v>#N/A</x:v>
      </x:c>
      <x:c r="O174" s="14" t="e">
        <x:f>IF(OR(P174="",$B$2="",$F$2="",P174&lt;$B$2,P174&gt;$F$2),NA(),IF(Q174=0,IF($F$2=$B$2,$H$2,MAX(0,MIN(1,$H$2*(3*MAX(0,MIN(1,(P174-$B$2)/($F$2-$B$2)))^2-2*MAX(0,MIN(1,(P174-$B$2)/($F$2-$B$2)))^3)))),MAX(0,MIN(1,T174+(V174-T174)*(3*W174^2-2*W174^3)))))</x:f>
        <x:v>#N/A</x:v>
      </x:c>
      <x:c r="P174" s="189" t="str">
        <x:f>A174</x:f>
      </x:c>
      <x:c r="Q174" t="n">
        <x:f>COUNT($G$7:$G$106)</x:f>
        <x:v>0</x:v>
      </x:c>
      <x:c r="R174" t="str">
        <x:f>IF(OR(P174="",$B$2="",$F$2="",P174&lt;$B$2,P174&gt;$F$2),"",IF(Q174=0,0,IF(P174&lt;$G$7,0,IF(P174&gt;=INDEX($G$7:$G$106,Q174),Q174,MATCH(P174,$G$7:$G$106,1)))))</x:f>
      </x:c>
      <x:c r="S174" t="str">
        <x:f>IF(R174="","",IF(R174=0,$B$2,INDEX($G$7:$G$106,R174)))</x:f>
      </x:c>
      <x:c r="T174" s="14" t="str">
        <x:f>IF(R174="","",IF(R174=0,0,INDEX($H$7:$H$106,R174)))</x:f>
      </x:c>
      <x:c r="U174" t="str">
        <x:f>IF(R174="","",IF(Q174=0,$F$2,IF(R174=0,$G$7,IF(R174&lt;Q174,INDEX($G$7:$G$106,R174+1),$F$2))))</x:f>
      </x:c>
      <x:c r="V174" s="14" t="str">
        <x:f>IF(R174="","",IF(Q174=0,$H$2,IF(R174=0,$H$7,IF(R174&lt;Q174,INDEX($H$7:$H$106,R174+1),$H$2))))</x:f>
      </x:c>
      <x:c r="W174" s="188" t="str">
        <x:f>IF(R174="","",IF(U174=S174,1,MAX(0,MIN(1,(P174-S174)/(U174-S174)))))</x:f>
      </x:c>
    </x:row>
    <x:row r="175">
      <x:c r="A175" s="159" t="str">
        <x:f>IF(OR(A174="",A174&gt;=$D$2),"",A174+1)</x:f>
      </x:c>
      <x:c r="B175" s="162" t="str">
        <x:f>IF(A175="","",IFERROR(SUMPRODUCT(--('Project Plan'!$A$7:$A$206&lt;&gt;""),('Project Plan'!$P$7:$P$206+('Project Plan'!$P$7:$P$206="")),--('Project Plan'!$F$7:$F$206&lt;&gt;""),--('Project Plan'!$G$7:$G$206&lt;&gt;""),((A175&gt;='Project Plan'!$G$7:$G$206)+((A175&gt;='Project Plan'!$F$7:$F$206)*(A175&lt;'Project Plan'!$G$7:$G$206)*(A175-'Project Plan'!$F$7:$F$206+1)/('Project Plan'!$G$7:$G$206-'Project Plan'!$F$7:$F$206+1))))/SUMPRODUCT(--('Project Plan'!$A$7:$A$206&lt;&gt;""),('Project Plan'!$P$7:$P$206+('Project Plan'!$P$7:$P$206=""))),0))</x:f>
      </x:c>
      <x:c r="C175" s="162" t="str">
        <x:f>IF(A175="","",IF(A175&gt;$F$2,"",IF(A175=$F$2,$H$2,IFERROR(LOOKUP(2,1/(($G$7:$G$106&lt;&gt;"")*($G$7:$G$106&lt;=A175)),$H$7:$H$106),""))))</x:f>
      </x:c>
      <x:c r="D175" s="162" t="str">
        <x:f>IF(C175="","",C175-B175)</x:f>
      </x:c>
      <x:c r="E175" s="163" t="str">
        <x:f>IF(D175="","",IF(D175&gt;=0,"On / Ahead",IF(D175&gt;=-0.05,"Watch","Behind")))</x:f>
      </x:c>
      <x:c r="J175"/>
      <x:c r="K175"/>
      <x:c r="L175"/>
      <x:c r="M175" t="str">
        <x:f>IF(A175="","",TEXT(A175,"mmm d"))</x:f>
      </x:c>
      <x:c r="N175" s="14" t="e">
        <x:f>IF(B175="",NA(),B175)</x:f>
        <x:v>#N/A</x:v>
      </x:c>
      <x:c r="O175" s="14" t="e">
        <x:f>IF(OR(P175="",$B$2="",$F$2="",P175&lt;$B$2,P175&gt;$F$2),NA(),IF(Q175=0,IF($F$2=$B$2,$H$2,MAX(0,MIN(1,$H$2*(3*MAX(0,MIN(1,(P175-$B$2)/($F$2-$B$2)))^2-2*MAX(0,MIN(1,(P175-$B$2)/($F$2-$B$2)))^3)))),MAX(0,MIN(1,T175+(V175-T175)*(3*W175^2-2*W175^3)))))</x:f>
        <x:v>#N/A</x:v>
      </x:c>
      <x:c r="P175" s="189" t="str">
        <x:f>A175</x:f>
      </x:c>
      <x:c r="Q175" t="n">
        <x:f>COUNT($G$7:$G$106)</x:f>
        <x:v>0</x:v>
      </x:c>
      <x:c r="R175" t="str">
        <x:f>IF(OR(P175="",$B$2="",$F$2="",P175&lt;$B$2,P175&gt;$F$2),"",IF(Q175=0,0,IF(P175&lt;$G$7,0,IF(P175&gt;=INDEX($G$7:$G$106,Q175),Q175,MATCH(P175,$G$7:$G$106,1)))))</x:f>
      </x:c>
      <x:c r="S175" t="str">
        <x:f>IF(R175="","",IF(R175=0,$B$2,INDEX($G$7:$G$106,R175)))</x:f>
      </x:c>
      <x:c r="T175" s="14" t="str">
        <x:f>IF(R175="","",IF(R175=0,0,INDEX($H$7:$H$106,R175)))</x:f>
      </x:c>
      <x:c r="U175" t="str">
        <x:f>IF(R175="","",IF(Q175=0,$F$2,IF(R175=0,$G$7,IF(R175&lt;Q175,INDEX($G$7:$G$106,R175+1),$F$2))))</x:f>
      </x:c>
      <x:c r="V175" s="14" t="str">
        <x:f>IF(R175="","",IF(Q175=0,$H$2,IF(R175=0,$H$7,IF(R175&lt;Q175,INDEX($H$7:$H$106,R175+1),$H$2))))</x:f>
      </x:c>
      <x:c r="W175" s="188" t="str">
        <x:f>IF(R175="","",IF(U175=S175,1,MAX(0,MIN(1,(P175-S175)/(U175-S175)))))</x:f>
      </x:c>
    </x:row>
    <x:row r="176">
      <x:c r="A176" s="159" t="str">
        <x:f>IF(OR(A175="",A175&gt;=$D$2),"",A175+1)</x:f>
      </x:c>
      <x:c r="B176" s="162" t="str">
        <x:f>IF(A176="","",IFERROR(SUMPRODUCT(--('Project Plan'!$A$7:$A$206&lt;&gt;""),('Project Plan'!$P$7:$P$206+('Project Plan'!$P$7:$P$206="")),--('Project Plan'!$F$7:$F$206&lt;&gt;""),--('Project Plan'!$G$7:$G$206&lt;&gt;""),((A176&gt;='Project Plan'!$G$7:$G$206)+((A176&gt;='Project Plan'!$F$7:$F$206)*(A176&lt;'Project Plan'!$G$7:$G$206)*(A176-'Project Plan'!$F$7:$F$206+1)/('Project Plan'!$G$7:$G$206-'Project Plan'!$F$7:$F$206+1))))/SUMPRODUCT(--('Project Plan'!$A$7:$A$206&lt;&gt;""),('Project Plan'!$P$7:$P$206+('Project Plan'!$P$7:$P$206=""))),0))</x:f>
      </x:c>
      <x:c r="C176" s="162" t="str">
        <x:f>IF(A176="","",IF(A176&gt;$F$2,"",IF(A176=$F$2,$H$2,IFERROR(LOOKUP(2,1/(($G$7:$G$106&lt;&gt;"")*($G$7:$G$106&lt;=A176)),$H$7:$H$106),""))))</x:f>
      </x:c>
      <x:c r="D176" s="162" t="str">
        <x:f>IF(C176="","",C176-B176)</x:f>
      </x:c>
      <x:c r="E176" s="163" t="str">
        <x:f>IF(D176="","",IF(D176&gt;=0,"On / Ahead",IF(D176&gt;=-0.05,"Watch","Behind")))</x:f>
      </x:c>
      <x:c r="J176"/>
      <x:c r="K176"/>
      <x:c r="L176"/>
      <x:c r="M176" t="str">
        <x:f>IF(A176="","",TEXT(A176,"mmm d"))</x:f>
      </x:c>
      <x:c r="N176" s="14" t="e">
        <x:f>IF(B176="",NA(),B176)</x:f>
        <x:v>#N/A</x:v>
      </x:c>
      <x:c r="O176" s="14" t="e">
        <x:f>IF(OR(P176="",$B$2="",$F$2="",P176&lt;$B$2,P176&gt;$F$2),NA(),IF(Q176=0,IF($F$2=$B$2,$H$2,MAX(0,MIN(1,$H$2*(3*MAX(0,MIN(1,(P176-$B$2)/($F$2-$B$2)))^2-2*MAX(0,MIN(1,(P176-$B$2)/($F$2-$B$2)))^3)))),MAX(0,MIN(1,T176+(V176-T176)*(3*W176^2-2*W176^3)))))</x:f>
        <x:v>#N/A</x:v>
      </x:c>
      <x:c r="P176" s="189" t="str">
        <x:f>A176</x:f>
      </x:c>
      <x:c r="Q176" t="n">
        <x:f>COUNT($G$7:$G$106)</x:f>
        <x:v>0</x:v>
      </x:c>
      <x:c r="R176" t="str">
        <x:f>IF(OR(P176="",$B$2="",$F$2="",P176&lt;$B$2,P176&gt;$F$2),"",IF(Q176=0,0,IF(P176&lt;$G$7,0,IF(P176&gt;=INDEX($G$7:$G$106,Q176),Q176,MATCH(P176,$G$7:$G$106,1)))))</x:f>
      </x:c>
      <x:c r="S176" t="str">
        <x:f>IF(R176="","",IF(R176=0,$B$2,INDEX($G$7:$G$106,R176)))</x:f>
      </x:c>
      <x:c r="T176" s="14" t="str">
        <x:f>IF(R176="","",IF(R176=0,0,INDEX($H$7:$H$106,R176)))</x:f>
      </x:c>
      <x:c r="U176" t="str">
        <x:f>IF(R176="","",IF(Q176=0,$F$2,IF(R176=0,$G$7,IF(R176&lt;Q176,INDEX($G$7:$G$106,R176+1),$F$2))))</x:f>
      </x:c>
      <x:c r="V176" s="14" t="str">
        <x:f>IF(R176="","",IF(Q176=0,$H$2,IF(R176=0,$H$7,IF(R176&lt;Q176,INDEX($H$7:$H$106,R176+1),$H$2))))</x:f>
      </x:c>
      <x:c r="W176" s="188" t="str">
        <x:f>IF(R176="","",IF(U176=S176,1,MAX(0,MIN(1,(P176-S176)/(U176-S176)))))</x:f>
      </x:c>
    </x:row>
    <x:row r="177">
      <x:c r="A177" s="159" t="str">
        <x:f>IF(OR(A176="",A176&gt;=$D$2),"",A176+1)</x:f>
      </x:c>
      <x:c r="B177" s="162" t="str">
        <x:f>IF(A177="","",IFERROR(SUMPRODUCT(--('Project Plan'!$A$7:$A$206&lt;&gt;""),('Project Plan'!$P$7:$P$206+('Project Plan'!$P$7:$P$206="")),--('Project Plan'!$F$7:$F$206&lt;&gt;""),--('Project Plan'!$G$7:$G$206&lt;&gt;""),((A177&gt;='Project Plan'!$G$7:$G$206)+((A177&gt;='Project Plan'!$F$7:$F$206)*(A177&lt;'Project Plan'!$G$7:$G$206)*(A177-'Project Plan'!$F$7:$F$206+1)/('Project Plan'!$G$7:$G$206-'Project Plan'!$F$7:$F$206+1))))/SUMPRODUCT(--('Project Plan'!$A$7:$A$206&lt;&gt;""),('Project Plan'!$P$7:$P$206+('Project Plan'!$P$7:$P$206=""))),0))</x:f>
      </x:c>
      <x:c r="C177" s="162" t="str">
        <x:f>IF(A177="","",IF(A177&gt;$F$2,"",IF(A177=$F$2,$H$2,IFERROR(LOOKUP(2,1/(($G$7:$G$106&lt;&gt;"")*($G$7:$G$106&lt;=A177)),$H$7:$H$106),""))))</x:f>
      </x:c>
      <x:c r="D177" s="162" t="str">
        <x:f>IF(C177="","",C177-B177)</x:f>
      </x:c>
      <x:c r="E177" s="163" t="str">
        <x:f>IF(D177="","",IF(D177&gt;=0,"On / Ahead",IF(D177&gt;=-0.05,"Watch","Behind")))</x:f>
      </x:c>
      <x:c r="J177"/>
      <x:c r="K177"/>
      <x:c r="L177"/>
      <x:c r="M177" t="str">
        <x:f>IF(A177="","",TEXT(A177,"mmm d"))</x:f>
      </x:c>
      <x:c r="N177" s="14" t="e">
        <x:f>IF(B177="",NA(),B177)</x:f>
        <x:v>#N/A</x:v>
      </x:c>
      <x:c r="O177" s="14" t="e">
        <x:f>IF(OR(P177="",$B$2="",$F$2="",P177&lt;$B$2,P177&gt;$F$2),NA(),IF(Q177=0,IF($F$2=$B$2,$H$2,MAX(0,MIN(1,$H$2*(3*MAX(0,MIN(1,(P177-$B$2)/($F$2-$B$2)))^2-2*MAX(0,MIN(1,(P177-$B$2)/($F$2-$B$2)))^3)))),MAX(0,MIN(1,T177+(V177-T177)*(3*W177^2-2*W177^3)))))</x:f>
        <x:v>#N/A</x:v>
      </x:c>
      <x:c r="P177" s="189" t="str">
        <x:f>A177</x:f>
      </x:c>
      <x:c r="Q177" t="n">
        <x:f>COUNT($G$7:$G$106)</x:f>
        <x:v>0</x:v>
      </x:c>
      <x:c r="R177" t="str">
        <x:f>IF(OR(P177="",$B$2="",$F$2="",P177&lt;$B$2,P177&gt;$F$2),"",IF(Q177=0,0,IF(P177&lt;$G$7,0,IF(P177&gt;=INDEX($G$7:$G$106,Q177),Q177,MATCH(P177,$G$7:$G$106,1)))))</x:f>
      </x:c>
      <x:c r="S177" t="str">
        <x:f>IF(R177="","",IF(R177=0,$B$2,INDEX($G$7:$G$106,R177)))</x:f>
      </x:c>
      <x:c r="T177" s="14" t="str">
        <x:f>IF(R177="","",IF(R177=0,0,INDEX($H$7:$H$106,R177)))</x:f>
      </x:c>
      <x:c r="U177" t="str">
        <x:f>IF(R177="","",IF(Q177=0,$F$2,IF(R177=0,$G$7,IF(R177&lt;Q177,INDEX($G$7:$G$106,R177+1),$F$2))))</x:f>
      </x:c>
      <x:c r="V177" s="14" t="str">
        <x:f>IF(R177="","",IF(Q177=0,$H$2,IF(R177=0,$H$7,IF(R177&lt;Q177,INDEX($H$7:$H$106,R177+1),$H$2))))</x:f>
      </x:c>
      <x:c r="W177" s="188" t="str">
        <x:f>IF(R177="","",IF(U177=S177,1,MAX(0,MIN(1,(P177-S177)/(U177-S177)))))</x:f>
      </x:c>
    </x:row>
    <x:row r="178">
      <x:c r="A178" s="159" t="str">
        <x:f>IF(OR(A177="",A177&gt;=$D$2),"",A177+1)</x:f>
      </x:c>
      <x:c r="B178" s="162" t="str">
        <x:f>IF(A178="","",IFERROR(SUMPRODUCT(--('Project Plan'!$A$7:$A$206&lt;&gt;""),('Project Plan'!$P$7:$P$206+('Project Plan'!$P$7:$P$206="")),--('Project Plan'!$F$7:$F$206&lt;&gt;""),--('Project Plan'!$G$7:$G$206&lt;&gt;""),((A178&gt;='Project Plan'!$G$7:$G$206)+((A178&gt;='Project Plan'!$F$7:$F$206)*(A178&lt;'Project Plan'!$G$7:$G$206)*(A178-'Project Plan'!$F$7:$F$206+1)/('Project Plan'!$G$7:$G$206-'Project Plan'!$F$7:$F$206+1))))/SUMPRODUCT(--('Project Plan'!$A$7:$A$206&lt;&gt;""),('Project Plan'!$P$7:$P$206+('Project Plan'!$P$7:$P$206=""))),0))</x:f>
      </x:c>
      <x:c r="C178" s="162" t="str">
        <x:f>IF(A178="","",IF(A178&gt;$F$2,"",IF(A178=$F$2,$H$2,IFERROR(LOOKUP(2,1/(($G$7:$G$106&lt;&gt;"")*($G$7:$G$106&lt;=A178)),$H$7:$H$106),""))))</x:f>
      </x:c>
      <x:c r="D178" s="162" t="str">
        <x:f>IF(C178="","",C178-B178)</x:f>
      </x:c>
      <x:c r="E178" s="163" t="str">
        <x:f>IF(D178="","",IF(D178&gt;=0,"On / Ahead",IF(D178&gt;=-0.05,"Watch","Behind")))</x:f>
      </x:c>
      <x:c r="J178"/>
      <x:c r="K178"/>
      <x:c r="L178"/>
      <x:c r="M178" t="str">
        <x:f>IF(A178="","",TEXT(A178,"mmm d"))</x:f>
      </x:c>
      <x:c r="N178" s="14" t="e">
        <x:f>IF(B178="",NA(),B178)</x:f>
        <x:v>#N/A</x:v>
      </x:c>
      <x:c r="O178" s="14" t="e">
        <x:f>IF(OR(P178="",$B$2="",$F$2="",P178&lt;$B$2,P178&gt;$F$2),NA(),IF(Q178=0,IF($F$2=$B$2,$H$2,MAX(0,MIN(1,$H$2*(3*MAX(0,MIN(1,(P178-$B$2)/($F$2-$B$2)))^2-2*MAX(0,MIN(1,(P178-$B$2)/($F$2-$B$2)))^3)))),MAX(0,MIN(1,T178+(V178-T178)*(3*W178^2-2*W178^3)))))</x:f>
        <x:v>#N/A</x:v>
      </x:c>
      <x:c r="P178" s="189" t="str">
        <x:f>A178</x:f>
      </x:c>
      <x:c r="Q178" t="n">
        <x:f>COUNT($G$7:$G$106)</x:f>
        <x:v>0</x:v>
      </x:c>
      <x:c r="R178" t="str">
        <x:f>IF(OR(P178="",$B$2="",$F$2="",P178&lt;$B$2,P178&gt;$F$2),"",IF(Q178=0,0,IF(P178&lt;$G$7,0,IF(P178&gt;=INDEX($G$7:$G$106,Q178),Q178,MATCH(P178,$G$7:$G$106,1)))))</x:f>
      </x:c>
      <x:c r="S178" t="str">
        <x:f>IF(R178="","",IF(R178=0,$B$2,INDEX($G$7:$G$106,R178)))</x:f>
      </x:c>
      <x:c r="T178" s="14" t="str">
        <x:f>IF(R178="","",IF(R178=0,0,INDEX($H$7:$H$106,R178)))</x:f>
      </x:c>
      <x:c r="U178" t="str">
        <x:f>IF(R178="","",IF(Q178=0,$F$2,IF(R178=0,$G$7,IF(R178&lt;Q178,INDEX($G$7:$G$106,R178+1),$F$2))))</x:f>
      </x:c>
      <x:c r="V178" s="14" t="str">
        <x:f>IF(R178="","",IF(Q178=0,$H$2,IF(R178=0,$H$7,IF(R178&lt;Q178,INDEX($H$7:$H$106,R178+1),$H$2))))</x:f>
      </x:c>
      <x:c r="W178" s="188" t="str">
        <x:f>IF(R178="","",IF(U178=S178,1,MAX(0,MIN(1,(P178-S178)/(U178-S178)))))</x:f>
      </x:c>
    </x:row>
    <x:row r="179">
      <x:c r="A179" s="159" t="str">
        <x:f>IF(OR(A178="",A178&gt;=$D$2),"",A178+1)</x:f>
      </x:c>
      <x:c r="B179" s="162" t="str">
        <x:f>IF(A179="","",IFERROR(SUMPRODUCT(--('Project Plan'!$A$7:$A$206&lt;&gt;""),('Project Plan'!$P$7:$P$206+('Project Plan'!$P$7:$P$206="")),--('Project Plan'!$F$7:$F$206&lt;&gt;""),--('Project Plan'!$G$7:$G$206&lt;&gt;""),((A179&gt;='Project Plan'!$G$7:$G$206)+((A179&gt;='Project Plan'!$F$7:$F$206)*(A179&lt;'Project Plan'!$G$7:$G$206)*(A179-'Project Plan'!$F$7:$F$206+1)/('Project Plan'!$G$7:$G$206-'Project Plan'!$F$7:$F$206+1))))/SUMPRODUCT(--('Project Plan'!$A$7:$A$206&lt;&gt;""),('Project Plan'!$P$7:$P$206+('Project Plan'!$P$7:$P$206=""))),0))</x:f>
      </x:c>
      <x:c r="C179" s="162" t="str">
        <x:f>IF(A179="","",IF(A179&gt;$F$2,"",IF(A179=$F$2,$H$2,IFERROR(LOOKUP(2,1/(($G$7:$G$106&lt;&gt;"")*($G$7:$G$106&lt;=A179)),$H$7:$H$106),""))))</x:f>
      </x:c>
      <x:c r="D179" s="162" t="str">
        <x:f>IF(C179="","",C179-B179)</x:f>
      </x:c>
      <x:c r="E179" s="163" t="str">
        <x:f>IF(D179="","",IF(D179&gt;=0,"On / Ahead",IF(D179&gt;=-0.05,"Watch","Behind")))</x:f>
      </x:c>
      <x:c r="J179"/>
      <x:c r="K179"/>
      <x:c r="L179"/>
      <x:c r="M179" t="str">
        <x:f>IF(A179="","",TEXT(A179,"mmm d"))</x:f>
      </x:c>
      <x:c r="N179" s="14" t="e">
        <x:f>IF(B179="",NA(),B179)</x:f>
        <x:v>#N/A</x:v>
      </x:c>
      <x:c r="O179" s="14" t="e">
        <x:f>IF(OR(P179="",$B$2="",$F$2="",P179&lt;$B$2,P179&gt;$F$2),NA(),IF(Q179=0,IF($F$2=$B$2,$H$2,MAX(0,MIN(1,$H$2*(3*MAX(0,MIN(1,(P179-$B$2)/($F$2-$B$2)))^2-2*MAX(0,MIN(1,(P179-$B$2)/($F$2-$B$2)))^3)))),MAX(0,MIN(1,T179+(V179-T179)*(3*W179^2-2*W179^3)))))</x:f>
        <x:v>#N/A</x:v>
      </x:c>
      <x:c r="P179" s="189" t="str">
        <x:f>A179</x:f>
      </x:c>
      <x:c r="Q179" t="n">
        <x:f>COUNT($G$7:$G$106)</x:f>
        <x:v>0</x:v>
      </x:c>
      <x:c r="R179" t="str">
        <x:f>IF(OR(P179="",$B$2="",$F$2="",P179&lt;$B$2,P179&gt;$F$2),"",IF(Q179=0,0,IF(P179&lt;$G$7,0,IF(P179&gt;=INDEX($G$7:$G$106,Q179),Q179,MATCH(P179,$G$7:$G$106,1)))))</x:f>
      </x:c>
      <x:c r="S179" t="str">
        <x:f>IF(R179="","",IF(R179=0,$B$2,INDEX($G$7:$G$106,R179)))</x:f>
      </x:c>
      <x:c r="T179" s="14" t="str">
        <x:f>IF(R179="","",IF(R179=0,0,INDEX($H$7:$H$106,R179)))</x:f>
      </x:c>
      <x:c r="U179" t="str">
        <x:f>IF(R179="","",IF(Q179=0,$F$2,IF(R179=0,$G$7,IF(R179&lt;Q179,INDEX($G$7:$G$106,R179+1),$F$2))))</x:f>
      </x:c>
      <x:c r="V179" s="14" t="str">
        <x:f>IF(R179="","",IF(Q179=0,$H$2,IF(R179=0,$H$7,IF(R179&lt;Q179,INDEX($H$7:$H$106,R179+1),$H$2))))</x:f>
      </x:c>
      <x:c r="W179" s="188" t="str">
        <x:f>IF(R179="","",IF(U179=S179,1,MAX(0,MIN(1,(P179-S179)/(U179-S179)))))</x:f>
      </x:c>
    </x:row>
    <x:row r="180">
      <x:c r="A180" s="159" t="str">
        <x:f>IF(OR(A179="",A179&gt;=$D$2),"",A179+1)</x:f>
      </x:c>
      <x:c r="B180" s="162" t="str">
        <x:f>IF(A180="","",IFERROR(SUMPRODUCT(--('Project Plan'!$A$7:$A$206&lt;&gt;""),('Project Plan'!$P$7:$P$206+('Project Plan'!$P$7:$P$206="")),--('Project Plan'!$F$7:$F$206&lt;&gt;""),--('Project Plan'!$G$7:$G$206&lt;&gt;""),((A180&gt;='Project Plan'!$G$7:$G$206)+((A180&gt;='Project Plan'!$F$7:$F$206)*(A180&lt;'Project Plan'!$G$7:$G$206)*(A180-'Project Plan'!$F$7:$F$206+1)/('Project Plan'!$G$7:$G$206-'Project Plan'!$F$7:$F$206+1))))/SUMPRODUCT(--('Project Plan'!$A$7:$A$206&lt;&gt;""),('Project Plan'!$P$7:$P$206+('Project Plan'!$P$7:$P$206=""))),0))</x:f>
      </x:c>
      <x:c r="C180" s="162" t="str">
        <x:f>IF(A180="","",IF(A180&gt;$F$2,"",IF(A180=$F$2,$H$2,IFERROR(LOOKUP(2,1/(($G$7:$G$106&lt;&gt;"")*($G$7:$G$106&lt;=A180)),$H$7:$H$106),""))))</x:f>
      </x:c>
      <x:c r="D180" s="162" t="str">
        <x:f>IF(C180="","",C180-B180)</x:f>
      </x:c>
      <x:c r="E180" s="163" t="str">
        <x:f>IF(D180="","",IF(D180&gt;=0,"On / Ahead",IF(D180&gt;=-0.05,"Watch","Behind")))</x:f>
      </x:c>
      <x:c r="J180"/>
      <x:c r="K180"/>
      <x:c r="L180"/>
      <x:c r="M180" t="str">
        <x:f>IF(A180="","",TEXT(A180,"mmm d"))</x:f>
      </x:c>
      <x:c r="N180" s="14" t="e">
        <x:f>IF(B180="",NA(),B180)</x:f>
        <x:v>#N/A</x:v>
      </x:c>
      <x:c r="O180" s="14" t="e">
        <x:f>IF(OR(P180="",$B$2="",$F$2="",P180&lt;$B$2,P180&gt;$F$2),NA(),IF(Q180=0,IF($F$2=$B$2,$H$2,MAX(0,MIN(1,$H$2*(3*MAX(0,MIN(1,(P180-$B$2)/($F$2-$B$2)))^2-2*MAX(0,MIN(1,(P180-$B$2)/($F$2-$B$2)))^3)))),MAX(0,MIN(1,T180+(V180-T180)*(3*W180^2-2*W180^3)))))</x:f>
        <x:v>#N/A</x:v>
      </x:c>
      <x:c r="P180" s="189" t="str">
        <x:f>A180</x:f>
      </x:c>
      <x:c r="Q180" t="n">
        <x:f>COUNT($G$7:$G$106)</x:f>
        <x:v>0</x:v>
      </x:c>
      <x:c r="R180" t="str">
        <x:f>IF(OR(P180="",$B$2="",$F$2="",P180&lt;$B$2,P180&gt;$F$2),"",IF(Q180=0,0,IF(P180&lt;$G$7,0,IF(P180&gt;=INDEX($G$7:$G$106,Q180),Q180,MATCH(P180,$G$7:$G$106,1)))))</x:f>
      </x:c>
      <x:c r="S180" t="str">
        <x:f>IF(R180="","",IF(R180=0,$B$2,INDEX($G$7:$G$106,R180)))</x:f>
      </x:c>
      <x:c r="T180" s="14" t="str">
        <x:f>IF(R180="","",IF(R180=0,0,INDEX($H$7:$H$106,R180)))</x:f>
      </x:c>
      <x:c r="U180" t="str">
        <x:f>IF(R180="","",IF(Q180=0,$F$2,IF(R180=0,$G$7,IF(R180&lt;Q180,INDEX($G$7:$G$106,R180+1),$F$2))))</x:f>
      </x:c>
      <x:c r="V180" s="14" t="str">
        <x:f>IF(R180="","",IF(Q180=0,$H$2,IF(R180=0,$H$7,IF(R180&lt;Q180,INDEX($H$7:$H$106,R180+1),$H$2))))</x:f>
      </x:c>
      <x:c r="W180" s="188" t="str">
        <x:f>IF(R180="","",IF(U180=S180,1,MAX(0,MIN(1,(P180-S180)/(U180-S180)))))</x:f>
      </x:c>
    </x:row>
    <x:row r="181">
      <x:c r="A181" s="159" t="str">
        <x:f>IF(OR(A180="",A180&gt;=$D$2),"",A180+1)</x:f>
      </x:c>
      <x:c r="B181" s="162" t="str">
        <x:f>IF(A181="","",IFERROR(SUMPRODUCT(--('Project Plan'!$A$7:$A$206&lt;&gt;""),('Project Plan'!$P$7:$P$206+('Project Plan'!$P$7:$P$206="")),--('Project Plan'!$F$7:$F$206&lt;&gt;""),--('Project Plan'!$G$7:$G$206&lt;&gt;""),((A181&gt;='Project Plan'!$G$7:$G$206)+((A181&gt;='Project Plan'!$F$7:$F$206)*(A181&lt;'Project Plan'!$G$7:$G$206)*(A181-'Project Plan'!$F$7:$F$206+1)/('Project Plan'!$G$7:$G$206-'Project Plan'!$F$7:$F$206+1))))/SUMPRODUCT(--('Project Plan'!$A$7:$A$206&lt;&gt;""),('Project Plan'!$P$7:$P$206+('Project Plan'!$P$7:$P$206=""))),0))</x:f>
      </x:c>
      <x:c r="C181" s="162" t="str">
        <x:f>IF(A181="","",IF(A181&gt;$F$2,"",IF(A181=$F$2,$H$2,IFERROR(LOOKUP(2,1/(($G$7:$G$106&lt;&gt;"")*($G$7:$G$106&lt;=A181)),$H$7:$H$106),""))))</x:f>
      </x:c>
      <x:c r="D181" s="162" t="str">
        <x:f>IF(C181="","",C181-B181)</x:f>
      </x:c>
      <x:c r="E181" s="163" t="str">
        <x:f>IF(D181="","",IF(D181&gt;=0,"On / Ahead",IF(D181&gt;=-0.05,"Watch","Behind")))</x:f>
      </x:c>
      <x:c r="J181"/>
      <x:c r="K181"/>
      <x:c r="L181"/>
      <x:c r="M181" t="str">
        <x:f>IF(A181="","",TEXT(A181,"mmm d"))</x:f>
      </x:c>
      <x:c r="N181" s="14" t="e">
        <x:f>IF(B181="",NA(),B181)</x:f>
        <x:v>#N/A</x:v>
      </x:c>
      <x:c r="O181" s="14" t="e">
        <x:f>IF(OR(P181="",$B$2="",$F$2="",P181&lt;$B$2,P181&gt;$F$2),NA(),IF(Q181=0,IF($F$2=$B$2,$H$2,MAX(0,MIN(1,$H$2*(3*MAX(0,MIN(1,(P181-$B$2)/($F$2-$B$2)))^2-2*MAX(0,MIN(1,(P181-$B$2)/($F$2-$B$2)))^3)))),MAX(0,MIN(1,T181+(V181-T181)*(3*W181^2-2*W181^3)))))</x:f>
        <x:v>#N/A</x:v>
      </x:c>
      <x:c r="P181" s="189" t="str">
        <x:f>A181</x:f>
      </x:c>
      <x:c r="Q181" t="n">
        <x:f>COUNT($G$7:$G$106)</x:f>
        <x:v>0</x:v>
      </x:c>
      <x:c r="R181" t="str">
        <x:f>IF(OR(P181="",$B$2="",$F$2="",P181&lt;$B$2,P181&gt;$F$2),"",IF(Q181=0,0,IF(P181&lt;$G$7,0,IF(P181&gt;=INDEX($G$7:$G$106,Q181),Q181,MATCH(P181,$G$7:$G$106,1)))))</x:f>
      </x:c>
      <x:c r="S181" t="str">
        <x:f>IF(R181="","",IF(R181=0,$B$2,INDEX($G$7:$G$106,R181)))</x:f>
      </x:c>
      <x:c r="T181" s="14" t="str">
        <x:f>IF(R181="","",IF(R181=0,0,INDEX($H$7:$H$106,R181)))</x:f>
      </x:c>
      <x:c r="U181" t="str">
        <x:f>IF(R181="","",IF(Q181=0,$F$2,IF(R181=0,$G$7,IF(R181&lt;Q181,INDEX($G$7:$G$106,R181+1),$F$2))))</x:f>
      </x:c>
      <x:c r="V181" s="14" t="str">
        <x:f>IF(R181="","",IF(Q181=0,$H$2,IF(R181=0,$H$7,IF(R181&lt;Q181,INDEX($H$7:$H$106,R181+1),$H$2))))</x:f>
      </x:c>
      <x:c r="W181" s="188" t="str">
        <x:f>IF(R181="","",IF(U181=S181,1,MAX(0,MIN(1,(P181-S181)/(U181-S181)))))</x:f>
      </x:c>
    </x:row>
    <x:row r="182">
      <x:c r="A182" s="159" t="str">
        <x:f>IF(OR(A181="",A181&gt;=$D$2),"",A181+1)</x:f>
      </x:c>
      <x:c r="B182" s="162" t="str">
        <x:f>IF(A182="","",IFERROR(SUMPRODUCT(--('Project Plan'!$A$7:$A$206&lt;&gt;""),('Project Plan'!$P$7:$P$206+('Project Plan'!$P$7:$P$206="")),--('Project Plan'!$F$7:$F$206&lt;&gt;""),--('Project Plan'!$G$7:$G$206&lt;&gt;""),((A182&gt;='Project Plan'!$G$7:$G$206)+((A182&gt;='Project Plan'!$F$7:$F$206)*(A182&lt;'Project Plan'!$G$7:$G$206)*(A182-'Project Plan'!$F$7:$F$206+1)/('Project Plan'!$G$7:$G$206-'Project Plan'!$F$7:$F$206+1))))/SUMPRODUCT(--('Project Plan'!$A$7:$A$206&lt;&gt;""),('Project Plan'!$P$7:$P$206+('Project Plan'!$P$7:$P$206=""))),0))</x:f>
      </x:c>
      <x:c r="C182" s="162" t="str">
        <x:f>IF(A182="","",IF(A182&gt;$F$2,"",IF(A182=$F$2,$H$2,IFERROR(LOOKUP(2,1/(($G$7:$G$106&lt;&gt;"")*($G$7:$G$106&lt;=A182)),$H$7:$H$106),""))))</x:f>
      </x:c>
      <x:c r="D182" s="162" t="str">
        <x:f>IF(C182="","",C182-B182)</x:f>
      </x:c>
      <x:c r="E182" s="163" t="str">
        <x:f>IF(D182="","",IF(D182&gt;=0,"On / Ahead",IF(D182&gt;=-0.05,"Watch","Behind")))</x:f>
      </x:c>
      <x:c r="J182"/>
      <x:c r="K182"/>
      <x:c r="L182"/>
      <x:c r="M182" t="str">
        <x:f>IF(A182="","",TEXT(A182,"mmm d"))</x:f>
      </x:c>
      <x:c r="N182" s="14" t="e">
        <x:f>IF(B182="",NA(),B182)</x:f>
        <x:v>#N/A</x:v>
      </x:c>
      <x:c r="O182" s="14" t="e">
        <x:f>IF(OR(P182="",$B$2="",$F$2="",P182&lt;$B$2,P182&gt;$F$2),NA(),IF(Q182=0,IF($F$2=$B$2,$H$2,MAX(0,MIN(1,$H$2*(3*MAX(0,MIN(1,(P182-$B$2)/($F$2-$B$2)))^2-2*MAX(0,MIN(1,(P182-$B$2)/($F$2-$B$2)))^3)))),MAX(0,MIN(1,T182+(V182-T182)*(3*W182^2-2*W182^3)))))</x:f>
        <x:v>#N/A</x:v>
      </x:c>
      <x:c r="P182" s="189" t="str">
        <x:f>A182</x:f>
      </x:c>
      <x:c r="Q182" t="n">
        <x:f>COUNT($G$7:$G$106)</x:f>
        <x:v>0</x:v>
      </x:c>
      <x:c r="R182" t="str">
        <x:f>IF(OR(P182="",$B$2="",$F$2="",P182&lt;$B$2,P182&gt;$F$2),"",IF(Q182=0,0,IF(P182&lt;$G$7,0,IF(P182&gt;=INDEX($G$7:$G$106,Q182),Q182,MATCH(P182,$G$7:$G$106,1)))))</x:f>
      </x:c>
      <x:c r="S182" t="str">
        <x:f>IF(R182="","",IF(R182=0,$B$2,INDEX($G$7:$G$106,R182)))</x:f>
      </x:c>
      <x:c r="T182" s="14" t="str">
        <x:f>IF(R182="","",IF(R182=0,0,INDEX($H$7:$H$106,R182)))</x:f>
      </x:c>
      <x:c r="U182" t="str">
        <x:f>IF(R182="","",IF(Q182=0,$F$2,IF(R182=0,$G$7,IF(R182&lt;Q182,INDEX($G$7:$G$106,R182+1),$F$2))))</x:f>
      </x:c>
      <x:c r="V182" s="14" t="str">
        <x:f>IF(R182="","",IF(Q182=0,$H$2,IF(R182=0,$H$7,IF(R182&lt;Q182,INDEX($H$7:$H$106,R182+1),$H$2))))</x:f>
      </x:c>
      <x:c r="W182" s="188" t="str">
        <x:f>IF(R182="","",IF(U182=S182,1,MAX(0,MIN(1,(P182-S182)/(U182-S182)))))</x:f>
      </x:c>
    </x:row>
    <x:row r="183">
      <x:c r="A183" s="159" t="str">
        <x:f>IF(OR(A182="",A182&gt;=$D$2),"",A182+1)</x:f>
      </x:c>
      <x:c r="B183" s="162" t="str">
        <x:f>IF(A183="","",IFERROR(SUMPRODUCT(--('Project Plan'!$A$7:$A$206&lt;&gt;""),('Project Plan'!$P$7:$P$206+('Project Plan'!$P$7:$P$206="")),--('Project Plan'!$F$7:$F$206&lt;&gt;""),--('Project Plan'!$G$7:$G$206&lt;&gt;""),((A183&gt;='Project Plan'!$G$7:$G$206)+((A183&gt;='Project Plan'!$F$7:$F$206)*(A183&lt;'Project Plan'!$G$7:$G$206)*(A183-'Project Plan'!$F$7:$F$206+1)/('Project Plan'!$G$7:$G$206-'Project Plan'!$F$7:$F$206+1))))/SUMPRODUCT(--('Project Plan'!$A$7:$A$206&lt;&gt;""),('Project Plan'!$P$7:$P$206+('Project Plan'!$P$7:$P$206=""))),0))</x:f>
      </x:c>
      <x:c r="C183" s="162" t="str">
        <x:f>IF(A183="","",IF(A183&gt;$F$2,"",IF(A183=$F$2,$H$2,IFERROR(LOOKUP(2,1/(($G$7:$G$106&lt;&gt;"")*($G$7:$G$106&lt;=A183)),$H$7:$H$106),""))))</x:f>
      </x:c>
      <x:c r="D183" s="162" t="str">
        <x:f>IF(C183="","",C183-B183)</x:f>
      </x:c>
      <x:c r="E183" s="163" t="str">
        <x:f>IF(D183="","",IF(D183&gt;=0,"On / Ahead",IF(D183&gt;=-0.05,"Watch","Behind")))</x:f>
      </x:c>
      <x:c r="J183"/>
      <x:c r="K183"/>
      <x:c r="L183"/>
      <x:c r="M183" t="str">
        <x:f>IF(A183="","",TEXT(A183,"mmm d"))</x:f>
      </x:c>
      <x:c r="N183" s="14" t="e">
        <x:f>IF(B183="",NA(),B183)</x:f>
        <x:v>#N/A</x:v>
      </x:c>
      <x:c r="O183" s="14" t="e">
        <x:f>IF(OR(P183="",$B$2="",$F$2="",P183&lt;$B$2,P183&gt;$F$2),NA(),IF(Q183=0,IF($F$2=$B$2,$H$2,MAX(0,MIN(1,$H$2*(3*MAX(0,MIN(1,(P183-$B$2)/($F$2-$B$2)))^2-2*MAX(0,MIN(1,(P183-$B$2)/($F$2-$B$2)))^3)))),MAX(0,MIN(1,T183+(V183-T183)*(3*W183^2-2*W183^3)))))</x:f>
        <x:v>#N/A</x:v>
      </x:c>
      <x:c r="P183" s="189" t="str">
        <x:f>A183</x:f>
      </x:c>
      <x:c r="Q183" t="n">
        <x:f>COUNT($G$7:$G$106)</x:f>
        <x:v>0</x:v>
      </x:c>
      <x:c r="R183" t="str">
        <x:f>IF(OR(P183="",$B$2="",$F$2="",P183&lt;$B$2,P183&gt;$F$2),"",IF(Q183=0,0,IF(P183&lt;$G$7,0,IF(P183&gt;=INDEX($G$7:$G$106,Q183),Q183,MATCH(P183,$G$7:$G$106,1)))))</x:f>
      </x:c>
      <x:c r="S183" t="str">
        <x:f>IF(R183="","",IF(R183=0,$B$2,INDEX($G$7:$G$106,R183)))</x:f>
      </x:c>
      <x:c r="T183" s="14" t="str">
        <x:f>IF(R183="","",IF(R183=0,0,INDEX($H$7:$H$106,R183)))</x:f>
      </x:c>
      <x:c r="U183" t="str">
        <x:f>IF(R183="","",IF(Q183=0,$F$2,IF(R183=0,$G$7,IF(R183&lt;Q183,INDEX($G$7:$G$106,R183+1),$F$2))))</x:f>
      </x:c>
      <x:c r="V183" s="14" t="str">
        <x:f>IF(R183="","",IF(Q183=0,$H$2,IF(R183=0,$H$7,IF(R183&lt;Q183,INDEX($H$7:$H$106,R183+1),$H$2))))</x:f>
      </x:c>
      <x:c r="W183" s="188" t="str">
        <x:f>IF(R183="","",IF(U183=S183,1,MAX(0,MIN(1,(P183-S183)/(U183-S183)))))</x:f>
      </x:c>
    </x:row>
    <x:row r="184">
      <x:c r="A184" s="159" t="str">
        <x:f>IF(OR(A183="",A183&gt;=$D$2),"",A183+1)</x:f>
      </x:c>
      <x:c r="B184" s="162" t="str">
        <x:f>IF(A184="","",IFERROR(SUMPRODUCT(--('Project Plan'!$A$7:$A$206&lt;&gt;""),('Project Plan'!$P$7:$P$206+('Project Plan'!$P$7:$P$206="")),--('Project Plan'!$F$7:$F$206&lt;&gt;""),--('Project Plan'!$G$7:$G$206&lt;&gt;""),((A184&gt;='Project Plan'!$G$7:$G$206)+((A184&gt;='Project Plan'!$F$7:$F$206)*(A184&lt;'Project Plan'!$G$7:$G$206)*(A184-'Project Plan'!$F$7:$F$206+1)/('Project Plan'!$G$7:$G$206-'Project Plan'!$F$7:$F$206+1))))/SUMPRODUCT(--('Project Plan'!$A$7:$A$206&lt;&gt;""),('Project Plan'!$P$7:$P$206+('Project Plan'!$P$7:$P$206=""))),0))</x:f>
      </x:c>
      <x:c r="C184" s="162" t="str">
        <x:f>IF(A184="","",IF(A184&gt;$F$2,"",IF(A184=$F$2,$H$2,IFERROR(LOOKUP(2,1/(($G$7:$G$106&lt;&gt;"")*($G$7:$G$106&lt;=A184)),$H$7:$H$106),""))))</x:f>
      </x:c>
      <x:c r="D184" s="162" t="str">
        <x:f>IF(C184="","",C184-B184)</x:f>
      </x:c>
      <x:c r="E184" s="163" t="str">
        <x:f>IF(D184="","",IF(D184&gt;=0,"On / Ahead",IF(D184&gt;=-0.05,"Watch","Behind")))</x:f>
      </x:c>
      <x:c r="J184"/>
      <x:c r="K184"/>
      <x:c r="L184"/>
      <x:c r="M184" t="str">
        <x:f>IF(A184="","",TEXT(A184,"mmm d"))</x:f>
      </x:c>
      <x:c r="N184" s="14" t="e">
        <x:f>IF(B184="",NA(),B184)</x:f>
        <x:v>#N/A</x:v>
      </x:c>
      <x:c r="O184" s="14" t="e">
        <x:f>IF(OR(P184="",$B$2="",$F$2="",P184&lt;$B$2,P184&gt;$F$2),NA(),IF(Q184=0,IF($F$2=$B$2,$H$2,MAX(0,MIN(1,$H$2*(3*MAX(0,MIN(1,(P184-$B$2)/($F$2-$B$2)))^2-2*MAX(0,MIN(1,(P184-$B$2)/($F$2-$B$2)))^3)))),MAX(0,MIN(1,T184+(V184-T184)*(3*W184^2-2*W184^3)))))</x:f>
        <x:v>#N/A</x:v>
      </x:c>
      <x:c r="P184" s="189" t="str">
        <x:f>A184</x:f>
      </x:c>
      <x:c r="Q184" t="n">
        <x:f>COUNT($G$7:$G$106)</x:f>
        <x:v>0</x:v>
      </x:c>
      <x:c r="R184" t="str">
        <x:f>IF(OR(P184="",$B$2="",$F$2="",P184&lt;$B$2,P184&gt;$F$2),"",IF(Q184=0,0,IF(P184&lt;$G$7,0,IF(P184&gt;=INDEX($G$7:$G$106,Q184),Q184,MATCH(P184,$G$7:$G$106,1)))))</x:f>
      </x:c>
      <x:c r="S184" t="str">
        <x:f>IF(R184="","",IF(R184=0,$B$2,INDEX($G$7:$G$106,R184)))</x:f>
      </x:c>
      <x:c r="T184" s="14" t="str">
        <x:f>IF(R184="","",IF(R184=0,0,INDEX($H$7:$H$106,R184)))</x:f>
      </x:c>
      <x:c r="U184" t="str">
        <x:f>IF(R184="","",IF(Q184=0,$F$2,IF(R184=0,$G$7,IF(R184&lt;Q184,INDEX($G$7:$G$106,R184+1),$F$2))))</x:f>
      </x:c>
      <x:c r="V184" s="14" t="str">
        <x:f>IF(R184="","",IF(Q184=0,$H$2,IF(R184=0,$H$7,IF(R184&lt;Q184,INDEX($H$7:$H$106,R184+1),$H$2))))</x:f>
      </x:c>
      <x:c r="W184" s="188" t="str">
        <x:f>IF(R184="","",IF(U184=S184,1,MAX(0,MIN(1,(P184-S184)/(U184-S184)))))</x:f>
      </x:c>
    </x:row>
    <x:row r="185">
      <x:c r="A185" s="159" t="str">
        <x:f>IF(OR(A184="",A184&gt;=$D$2),"",A184+1)</x:f>
      </x:c>
      <x:c r="B185" s="162" t="str">
        <x:f>IF(A185="","",IFERROR(SUMPRODUCT(--('Project Plan'!$A$7:$A$206&lt;&gt;""),('Project Plan'!$P$7:$P$206+('Project Plan'!$P$7:$P$206="")),--('Project Plan'!$F$7:$F$206&lt;&gt;""),--('Project Plan'!$G$7:$G$206&lt;&gt;""),((A185&gt;='Project Plan'!$G$7:$G$206)+((A185&gt;='Project Plan'!$F$7:$F$206)*(A185&lt;'Project Plan'!$G$7:$G$206)*(A185-'Project Plan'!$F$7:$F$206+1)/('Project Plan'!$G$7:$G$206-'Project Plan'!$F$7:$F$206+1))))/SUMPRODUCT(--('Project Plan'!$A$7:$A$206&lt;&gt;""),('Project Plan'!$P$7:$P$206+('Project Plan'!$P$7:$P$206=""))),0))</x:f>
      </x:c>
      <x:c r="C185" s="162" t="str">
        <x:f>IF(A185="","",IF(A185&gt;$F$2,"",IF(A185=$F$2,$H$2,IFERROR(LOOKUP(2,1/(($G$7:$G$106&lt;&gt;"")*($G$7:$G$106&lt;=A185)),$H$7:$H$106),""))))</x:f>
      </x:c>
      <x:c r="D185" s="162" t="str">
        <x:f>IF(C185="","",C185-B185)</x:f>
      </x:c>
      <x:c r="E185" s="163" t="str">
        <x:f>IF(D185="","",IF(D185&gt;=0,"On / Ahead",IF(D185&gt;=-0.05,"Watch","Behind")))</x:f>
      </x:c>
      <x:c r="J185"/>
      <x:c r="K185"/>
      <x:c r="L185"/>
      <x:c r="M185" t="str">
        <x:f>IF(A185="","",TEXT(A185,"mmm d"))</x:f>
      </x:c>
      <x:c r="N185" s="14" t="e">
        <x:f>IF(B185="",NA(),B185)</x:f>
        <x:v>#N/A</x:v>
      </x:c>
      <x:c r="O185" s="14" t="e">
        <x:f>IF(OR(P185="",$B$2="",$F$2="",P185&lt;$B$2,P185&gt;$F$2),NA(),IF(Q185=0,IF($F$2=$B$2,$H$2,MAX(0,MIN(1,$H$2*(3*MAX(0,MIN(1,(P185-$B$2)/($F$2-$B$2)))^2-2*MAX(0,MIN(1,(P185-$B$2)/($F$2-$B$2)))^3)))),MAX(0,MIN(1,T185+(V185-T185)*(3*W185^2-2*W185^3)))))</x:f>
        <x:v>#N/A</x:v>
      </x:c>
      <x:c r="P185" s="189" t="str">
        <x:f>A185</x:f>
      </x:c>
      <x:c r="Q185" t="n">
        <x:f>COUNT($G$7:$G$106)</x:f>
        <x:v>0</x:v>
      </x:c>
      <x:c r="R185" t="str">
        <x:f>IF(OR(P185="",$B$2="",$F$2="",P185&lt;$B$2,P185&gt;$F$2),"",IF(Q185=0,0,IF(P185&lt;$G$7,0,IF(P185&gt;=INDEX($G$7:$G$106,Q185),Q185,MATCH(P185,$G$7:$G$106,1)))))</x:f>
      </x:c>
      <x:c r="S185" t="str">
        <x:f>IF(R185="","",IF(R185=0,$B$2,INDEX($G$7:$G$106,R185)))</x:f>
      </x:c>
      <x:c r="T185" s="14" t="str">
        <x:f>IF(R185="","",IF(R185=0,0,INDEX($H$7:$H$106,R185)))</x:f>
      </x:c>
      <x:c r="U185" t="str">
        <x:f>IF(R185="","",IF(Q185=0,$F$2,IF(R185=0,$G$7,IF(R185&lt;Q185,INDEX($G$7:$G$106,R185+1),$F$2))))</x:f>
      </x:c>
      <x:c r="V185" s="14" t="str">
        <x:f>IF(R185="","",IF(Q185=0,$H$2,IF(R185=0,$H$7,IF(R185&lt;Q185,INDEX($H$7:$H$106,R185+1),$H$2))))</x:f>
      </x:c>
      <x:c r="W185" s="188" t="str">
        <x:f>IF(R185="","",IF(U185=S185,1,MAX(0,MIN(1,(P185-S185)/(U185-S185)))))</x:f>
      </x:c>
    </x:row>
    <x:row r="186">
      <x:c r="A186" s="159" t="str">
        <x:f>IF(OR(A185="",A185&gt;=$D$2),"",A185+1)</x:f>
      </x:c>
      <x:c r="B186" s="162" t="str">
        <x:f>IF(A186="","",IFERROR(SUMPRODUCT(--('Project Plan'!$A$7:$A$206&lt;&gt;""),('Project Plan'!$P$7:$P$206+('Project Plan'!$P$7:$P$206="")),--('Project Plan'!$F$7:$F$206&lt;&gt;""),--('Project Plan'!$G$7:$G$206&lt;&gt;""),((A186&gt;='Project Plan'!$G$7:$G$206)+((A186&gt;='Project Plan'!$F$7:$F$206)*(A186&lt;'Project Plan'!$G$7:$G$206)*(A186-'Project Plan'!$F$7:$F$206+1)/('Project Plan'!$G$7:$G$206-'Project Plan'!$F$7:$F$206+1))))/SUMPRODUCT(--('Project Plan'!$A$7:$A$206&lt;&gt;""),('Project Plan'!$P$7:$P$206+('Project Plan'!$P$7:$P$206=""))),0))</x:f>
      </x:c>
      <x:c r="C186" s="162" t="str">
        <x:f>IF(A186="","",IF(A186&gt;$F$2,"",IF(A186=$F$2,$H$2,IFERROR(LOOKUP(2,1/(($G$7:$G$106&lt;&gt;"")*($G$7:$G$106&lt;=A186)),$H$7:$H$106),""))))</x:f>
      </x:c>
      <x:c r="D186" s="162" t="str">
        <x:f>IF(C186="","",C186-B186)</x:f>
      </x:c>
      <x:c r="E186" s="163" t="str">
        <x:f>IF(D186="","",IF(D186&gt;=0,"On / Ahead",IF(D186&gt;=-0.05,"Watch","Behind")))</x:f>
      </x:c>
      <x:c r="J186"/>
      <x:c r="K186"/>
      <x:c r="L186"/>
      <x:c r="M186" t="str">
        <x:f>IF(A186="","",TEXT(A186,"mmm d"))</x:f>
      </x:c>
      <x:c r="N186" s="14" t="e">
        <x:f>IF(B186="",NA(),B186)</x:f>
        <x:v>#N/A</x:v>
      </x:c>
      <x:c r="O186" s="14" t="e">
        <x:f>IF(OR(P186="",$B$2="",$F$2="",P186&lt;$B$2,P186&gt;$F$2),NA(),IF(Q186=0,IF($F$2=$B$2,$H$2,MAX(0,MIN(1,$H$2*(3*MAX(0,MIN(1,(P186-$B$2)/($F$2-$B$2)))^2-2*MAX(0,MIN(1,(P186-$B$2)/($F$2-$B$2)))^3)))),MAX(0,MIN(1,T186+(V186-T186)*(3*W186^2-2*W186^3)))))</x:f>
        <x:v>#N/A</x:v>
      </x:c>
      <x:c r="P186" s="189" t="str">
        <x:f>A186</x:f>
      </x:c>
      <x:c r="Q186" t="n">
        <x:f>COUNT($G$7:$G$106)</x:f>
        <x:v>0</x:v>
      </x:c>
      <x:c r="R186" t="str">
        <x:f>IF(OR(P186="",$B$2="",$F$2="",P186&lt;$B$2,P186&gt;$F$2),"",IF(Q186=0,0,IF(P186&lt;$G$7,0,IF(P186&gt;=INDEX($G$7:$G$106,Q186),Q186,MATCH(P186,$G$7:$G$106,1)))))</x:f>
      </x:c>
      <x:c r="S186" t="str">
        <x:f>IF(R186="","",IF(R186=0,$B$2,INDEX($G$7:$G$106,R186)))</x:f>
      </x:c>
      <x:c r="T186" s="14" t="str">
        <x:f>IF(R186="","",IF(R186=0,0,INDEX($H$7:$H$106,R186)))</x:f>
      </x:c>
      <x:c r="U186" t="str">
        <x:f>IF(R186="","",IF(Q186=0,$F$2,IF(R186=0,$G$7,IF(R186&lt;Q186,INDEX($G$7:$G$106,R186+1),$F$2))))</x:f>
      </x:c>
      <x:c r="V186" s="14" t="str">
        <x:f>IF(R186="","",IF(Q186=0,$H$2,IF(R186=0,$H$7,IF(R186&lt;Q186,INDEX($H$7:$H$106,R186+1),$H$2))))</x:f>
      </x:c>
      <x:c r="W186" s="188" t="str">
        <x:f>IF(R186="","",IF(U186=S186,1,MAX(0,MIN(1,(P186-S186)/(U186-S186)))))</x:f>
      </x:c>
    </x:row>
    <x:row r="187">
      <x:c r="A187" s="159" t="str">
        <x:f>IF(OR(A186="",A186&gt;=$D$2),"",A186+1)</x:f>
      </x:c>
      <x:c r="B187" s="162" t="str">
        <x:f>IF(A187="","",IFERROR(SUMPRODUCT(--('Project Plan'!$A$7:$A$206&lt;&gt;""),('Project Plan'!$P$7:$P$206+('Project Plan'!$P$7:$P$206="")),--('Project Plan'!$F$7:$F$206&lt;&gt;""),--('Project Plan'!$G$7:$G$206&lt;&gt;""),((A187&gt;='Project Plan'!$G$7:$G$206)+((A187&gt;='Project Plan'!$F$7:$F$206)*(A187&lt;'Project Plan'!$G$7:$G$206)*(A187-'Project Plan'!$F$7:$F$206+1)/('Project Plan'!$G$7:$G$206-'Project Plan'!$F$7:$F$206+1))))/SUMPRODUCT(--('Project Plan'!$A$7:$A$206&lt;&gt;""),('Project Plan'!$P$7:$P$206+('Project Plan'!$P$7:$P$206=""))),0))</x:f>
      </x:c>
      <x:c r="C187" s="162" t="str">
        <x:f>IF(A187="","",IF(A187&gt;$F$2,"",IF(A187=$F$2,$H$2,IFERROR(LOOKUP(2,1/(($G$7:$G$106&lt;&gt;"")*($G$7:$G$106&lt;=A187)),$H$7:$H$106),""))))</x:f>
      </x:c>
      <x:c r="D187" s="162" t="str">
        <x:f>IF(C187="","",C187-B187)</x:f>
      </x:c>
      <x:c r="E187" s="163" t="str">
        <x:f>IF(D187="","",IF(D187&gt;=0,"On / Ahead",IF(D187&gt;=-0.05,"Watch","Behind")))</x:f>
      </x:c>
      <x:c r="J187"/>
      <x:c r="K187"/>
      <x:c r="L187"/>
      <x:c r="M187" t="str">
        <x:f>IF(A187="","",TEXT(A187,"mmm d"))</x:f>
      </x:c>
      <x:c r="N187" s="14" t="e">
        <x:f>IF(B187="",NA(),B187)</x:f>
        <x:v>#N/A</x:v>
      </x:c>
      <x:c r="O187" s="14" t="e">
        <x:f>IF(OR(P187="",$B$2="",$F$2="",P187&lt;$B$2,P187&gt;$F$2),NA(),IF(Q187=0,IF($F$2=$B$2,$H$2,MAX(0,MIN(1,$H$2*(3*MAX(0,MIN(1,(P187-$B$2)/($F$2-$B$2)))^2-2*MAX(0,MIN(1,(P187-$B$2)/($F$2-$B$2)))^3)))),MAX(0,MIN(1,T187+(V187-T187)*(3*W187^2-2*W187^3)))))</x:f>
        <x:v>#N/A</x:v>
      </x:c>
      <x:c r="P187" s="189" t="str">
        <x:f>A187</x:f>
      </x:c>
      <x:c r="Q187" t="n">
        <x:f>COUNT($G$7:$G$106)</x:f>
        <x:v>0</x:v>
      </x:c>
      <x:c r="R187" t="str">
        <x:f>IF(OR(P187="",$B$2="",$F$2="",P187&lt;$B$2,P187&gt;$F$2),"",IF(Q187=0,0,IF(P187&lt;$G$7,0,IF(P187&gt;=INDEX($G$7:$G$106,Q187),Q187,MATCH(P187,$G$7:$G$106,1)))))</x:f>
      </x:c>
      <x:c r="S187" t="str">
        <x:f>IF(R187="","",IF(R187=0,$B$2,INDEX($G$7:$G$106,R187)))</x:f>
      </x:c>
      <x:c r="T187" s="14" t="str">
        <x:f>IF(R187="","",IF(R187=0,0,INDEX($H$7:$H$106,R187)))</x:f>
      </x:c>
      <x:c r="U187" t="str">
        <x:f>IF(R187="","",IF(Q187=0,$F$2,IF(R187=0,$G$7,IF(R187&lt;Q187,INDEX($G$7:$G$106,R187+1),$F$2))))</x:f>
      </x:c>
      <x:c r="V187" s="14" t="str">
        <x:f>IF(R187="","",IF(Q187=0,$H$2,IF(R187=0,$H$7,IF(R187&lt;Q187,INDEX($H$7:$H$106,R187+1),$H$2))))</x:f>
      </x:c>
      <x:c r="W187" s="188" t="str">
        <x:f>IF(R187="","",IF(U187=S187,1,MAX(0,MIN(1,(P187-S187)/(U187-S187)))))</x:f>
      </x:c>
    </x:row>
    <x:row r="188">
      <x:c r="A188" s="159" t="str">
        <x:f>IF(OR(A187="",A187&gt;=$D$2),"",A187+1)</x:f>
      </x:c>
      <x:c r="B188" s="162" t="str">
        <x:f>IF(A188="","",IFERROR(SUMPRODUCT(--('Project Plan'!$A$7:$A$206&lt;&gt;""),('Project Plan'!$P$7:$P$206+('Project Plan'!$P$7:$P$206="")),--('Project Plan'!$F$7:$F$206&lt;&gt;""),--('Project Plan'!$G$7:$G$206&lt;&gt;""),((A188&gt;='Project Plan'!$G$7:$G$206)+((A188&gt;='Project Plan'!$F$7:$F$206)*(A188&lt;'Project Plan'!$G$7:$G$206)*(A188-'Project Plan'!$F$7:$F$206+1)/('Project Plan'!$G$7:$G$206-'Project Plan'!$F$7:$F$206+1))))/SUMPRODUCT(--('Project Plan'!$A$7:$A$206&lt;&gt;""),('Project Plan'!$P$7:$P$206+('Project Plan'!$P$7:$P$206=""))),0))</x:f>
      </x:c>
      <x:c r="C188" s="162" t="str">
        <x:f>IF(A188="","",IF(A188&gt;$F$2,"",IF(A188=$F$2,$H$2,IFERROR(LOOKUP(2,1/(($G$7:$G$106&lt;&gt;"")*($G$7:$G$106&lt;=A188)),$H$7:$H$106),""))))</x:f>
      </x:c>
      <x:c r="D188" s="162" t="str">
        <x:f>IF(C188="","",C188-B188)</x:f>
      </x:c>
      <x:c r="E188" s="163" t="str">
        <x:f>IF(D188="","",IF(D188&gt;=0,"On / Ahead",IF(D188&gt;=-0.05,"Watch","Behind")))</x:f>
      </x:c>
      <x:c r="J188"/>
      <x:c r="K188"/>
      <x:c r="L188"/>
      <x:c r="M188" t="str">
        <x:f>IF(A188="","",TEXT(A188,"mmm d"))</x:f>
      </x:c>
      <x:c r="N188" s="14" t="e">
        <x:f>IF(B188="",NA(),B188)</x:f>
        <x:v>#N/A</x:v>
      </x:c>
      <x:c r="O188" s="14" t="e">
        <x:f>IF(OR(P188="",$B$2="",$F$2="",P188&lt;$B$2,P188&gt;$F$2),NA(),IF(Q188=0,IF($F$2=$B$2,$H$2,MAX(0,MIN(1,$H$2*(3*MAX(0,MIN(1,(P188-$B$2)/($F$2-$B$2)))^2-2*MAX(0,MIN(1,(P188-$B$2)/($F$2-$B$2)))^3)))),MAX(0,MIN(1,T188+(V188-T188)*(3*W188^2-2*W188^3)))))</x:f>
        <x:v>#N/A</x:v>
      </x:c>
      <x:c r="P188" s="189" t="str">
        <x:f>A188</x:f>
      </x:c>
      <x:c r="Q188" t="n">
        <x:f>COUNT($G$7:$G$106)</x:f>
        <x:v>0</x:v>
      </x:c>
      <x:c r="R188" t="str">
        <x:f>IF(OR(P188="",$B$2="",$F$2="",P188&lt;$B$2,P188&gt;$F$2),"",IF(Q188=0,0,IF(P188&lt;$G$7,0,IF(P188&gt;=INDEX($G$7:$G$106,Q188),Q188,MATCH(P188,$G$7:$G$106,1)))))</x:f>
      </x:c>
      <x:c r="S188" t="str">
        <x:f>IF(R188="","",IF(R188=0,$B$2,INDEX($G$7:$G$106,R188)))</x:f>
      </x:c>
      <x:c r="T188" s="14" t="str">
        <x:f>IF(R188="","",IF(R188=0,0,INDEX($H$7:$H$106,R188)))</x:f>
      </x:c>
      <x:c r="U188" t="str">
        <x:f>IF(R188="","",IF(Q188=0,$F$2,IF(R188=0,$G$7,IF(R188&lt;Q188,INDEX($G$7:$G$106,R188+1),$F$2))))</x:f>
      </x:c>
      <x:c r="V188" s="14" t="str">
        <x:f>IF(R188="","",IF(Q188=0,$H$2,IF(R188=0,$H$7,IF(R188&lt;Q188,INDEX($H$7:$H$106,R188+1),$H$2))))</x:f>
      </x:c>
      <x:c r="W188" s="188" t="str">
        <x:f>IF(R188="","",IF(U188=S188,1,MAX(0,MIN(1,(P188-S188)/(U188-S188)))))</x:f>
      </x:c>
    </x:row>
    <x:row r="189">
      <x:c r="A189" s="159" t="str">
        <x:f>IF(OR(A188="",A188&gt;=$D$2),"",A188+1)</x:f>
      </x:c>
      <x:c r="B189" s="162" t="str">
        <x:f>IF(A189="","",IFERROR(SUMPRODUCT(--('Project Plan'!$A$7:$A$206&lt;&gt;""),('Project Plan'!$P$7:$P$206+('Project Plan'!$P$7:$P$206="")),--('Project Plan'!$F$7:$F$206&lt;&gt;""),--('Project Plan'!$G$7:$G$206&lt;&gt;""),((A189&gt;='Project Plan'!$G$7:$G$206)+((A189&gt;='Project Plan'!$F$7:$F$206)*(A189&lt;'Project Plan'!$G$7:$G$206)*(A189-'Project Plan'!$F$7:$F$206+1)/('Project Plan'!$G$7:$G$206-'Project Plan'!$F$7:$F$206+1))))/SUMPRODUCT(--('Project Plan'!$A$7:$A$206&lt;&gt;""),('Project Plan'!$P$7:$P$206+('Project Plan'!$P$7:$P$206=""))),0))</x:f>
      </x:c>
      <x:c r="C189" s="162" t="str">
        <x:f>IF(A189="","",IF(A189&gt;$F$2,"",IF(A189=$F$2,$H$2,IFERROR(LOOKUP(2,1/(($G$7:$G$106&lt;&gt;"")*($G$7:$G$106&lt;=A189)),$H$7:$H$106),""))))</x:f>
      </x:c>
      <x:c r="D189" s="162" t="str">
        <x:f>IF(C189="","",C189-B189)</x:f>
      </x:c>
      <x:c r="E189" s="163" t="str">
        <x:f>IF(D189="","",IF(D189&gt;=0,"On / Ahead",IF(D189&gt;=-0.05,"Watch","Behind")))</x:f>
      </x:c>
      <x:c r="J189"/>
      <x:c r="K189"/>
      <x:c r="L189"/>
      <x:c r="M189" t="str">
        <x:f>IF(A189="","",TEXT(A189,"mmm d"))</x:f>
      </x:c>
      <x:c r="N189" s="14" t="e">
        <x:f>IF(B189="",NA(),B189)</x:f>
        <x:v>#N/A</x:v>
      </x:c>
      <x:c r="O189" s="14" t="e">
        <x:f>IF(OR(P189="",$B$2="",$F$2="",P189&lt;$B$2,P189&gt;$F$2),NA(),IF(Q189=0,IF($F$2=$B$2,$H$2,MAX(0,MIN(1,$H$2*(3*MAX(0,MIN(1,(P189-$B$2)/($F$2-$B$2)))^2-2*MAX(0,MIN(1,(P189-$B$2)/($F$2-$B$2)))^3)))),MAX(0,MIN(1,T189+(V189-T189)*(3*W189^2-2*W189^3)))))</x:f>
        <x:v>#N/A</x:v>
      </x:c>
      <x:c r="P189" s="189" t="str">
        <x:f>A189</x:f>
      </x:c>
      <x:c r="Q189" t="n">
        <x:f>COUNT($G$7:$G$106)</x:f>
        <x:v>0</x:v>
      </x:c>
      <x:c r="R189" t="str">
        <x:f>IF(OR(P189="",$B$2="",$F$2="",P189&lt;$B$2,P189&gt;$F$2),"",IF(Q189=0,0,IF(P189&lt;$G$7,0,IF(P189&gt;=INDEX($G$7:$G$106,Q189),Q189,MATCH(P189,$G$7:$G$106,1)))))</x:f>
      </x:c>
      <x:c r="S189" t="str">
        <x:f>IF(R189="","",IF(R189=0,$B$2,INDEX($G$7:$G$106,R189)))</x:f>
      </x:c>
      <x:c r="T189" s="14" t="str">
        <x:f>IF(R189="","",IF(R189=0,0,INDEX($H$7:$H$106,R189)))</x:f>
      </x:c>
      <x:c r="U189" t="str">
        <x:f>IF(R189="","",IF(Q189=0,$F$2,IF(R189=0,$G$7,IF(R189&lt;Q189,INDEX($G$7:$G$106,R189+1),$F$2))))</x:f>
      </x:c>
      <x:c r="V189" s="14" t="str">
        <x:f>IF(R189="","",IF(Q189=0,$H$2,IF(R189=0,$H$7,IF(R189&lt;Q189,INDEX($H$7:$H$106,R189+1),$H$2))))</x:f>
      </x:c>
      <x:c r="W189" s="188" t="str">
        <x:f>IF(R189="","",IF(U189=S189,1,MAX(0,MIN(1,(P189-S189)/(U189-S189)))))</x:f>
      </x:c>
    </x:row>
    <x:row r="190">
      <x:c r="A190" s="159" t="str">
        <x:f>IF(OR(A189="",A189&gt;=$D$2),"",A189+1)</x:f>
      </x:c>
      <x:c r="B190" s="162" t="str">
        <x:f>IF(A190="","",IFERROR(SUMPRODUCT(--('Project Plan'!$A$7:$A$206&lt;&gt;""),('Project Plan'!$P$7:$P$206+('Project Plan'!$P$7:$P$206="")),--('Project Plan'!$F$7:$F$206&lt;&gt;""),--('Project Plan'!$G$7:$G$206&lt;&gt;""),((A190&gt;='Project Plan'!$G$7:$G$206)+((A190&gt;='Project Plan'!$F$7:$F$206)*(A190&lt;'Project Plan'!$G$7:$G$206)*(A190-'Project Plan'!$F$7:$F$206+1)/('Project Plan'!$G$7:$G$206-'Project Plan'!$F$7:$F$206+1))))/SUMPRODUCT(--('Project Plan'!$A$7:$A$206&lt;&gt;""),('Project Plan'!$P$7:$P$206+('Project Plan'!$P$7:$P$206=""))),0))</x:f>
      </x:c>
      <x:c r="C190" s="162" t="str">
        <x:f>IF(A190="","",IF(A190&gt;$F$2,"",IF(A190=$F$2,$H$2,IFERROR(LOOKUP(2,1/(($G$7:$G$106&lt;&gt;"")*($G$7:$G$106&lt;=A190)),$H$7:$H$106),""))))</x:f>
      </x:c>
      <x:c r="D190" s="162" t="str">
        <x:f>IF(C190="","",C190-B190)</x:f>
      </x:c>
      <x:c r="E190" s="163" t="str">
        <x:f>IF(D190="","",IF(D190&gt;=0,"On / Ahead",IF(D190&gt;=-0.05,"Watch","Behind")))</x:f>
      </x:c>
      <x:c r="J190"/>
      <x:c r="K190"/>
      <x:c r="L190"/>
      <x:c r="M190" t="str">
        <x:f>IF(A190="","",TEXT(A190,"mmm d"))</x:f>
      </x:c>
      <x:c r="N190" s="14" t="e">
        <x:f>IF(B190="",NA(),B190)</x:f>
        <x:v>#N/A</x:v>
      </x:c>
      <x:c r="O190" s="14" t="e">
        <x:f>IF(OR(P190="",$B$2="",$F$2="",P190&lt;$B$2,P190&gt;$F$2),NA(),IF(Q190=0,IF($F$2=$B$2,$H$2,MAX(0,MIN(1,$H$2*(3*MAX(0,MIN(1,(P190-$B$2)/($F$2-$B$2)))^2-2*MAX(0,MIN(1,(P190-$B$2)/($F$2-$B$2)))^3)))),MAX(0,MIN(1,T190+(V190-T190)*(3*W190^2-2*W190^3)))))</x:f>
        <x:v>#N/A</x:v>
      </x:c>
      <x:c r="P190" s="189" t="str">
        <x:f>A190</x:f>
      </x:c>
      <x:c r="Q190" t="n">
        <x:f>COUNT($G$7:$G$106)</x:f>
        <x:v>0</x:v>
      </x:c>
      <x:c r="R190" t="str">
        <x:f>IF(OR(P190="",$B$2="",$F$2="",P190&lt;$B$2,P190&gt;$F$2),"",IF(Q190=0,0,IF(P190&lt;$G$7,0,IF(P190&gt;=INDEX($G$7:$G$106,Q190),Q190,MATCH(P190,$G$7:$G$106,1)))))</x:f>
      </x:c>
      <x:c r="S190" t="str">
        <x:f>IF(R190="","",IF(R190=0,$B$2,INDEX($G$7:$G$106,R190)))</x:f>
      </x:c>
      <x:c r="T190" s="14" t="str">
        <x:f>IF(R190="","",IF(R190=0,0,INDEX($H$7:$H$106,R190)))</x:f>
      </x:c>
      <x:c r="U190" t="str">
        <x:f>IF(R190="","",IF(Q190=0,$F$2,IF(R190=0,$G$7,IF(R190&lt;Q190,INDEX($G$7:$G$106,R190+1),$F$2))))</x:f>
      </x:c>
      <x:c r="V190" s="14" t="str">
        <x:f>IF(R190="","",IF(Q190=0,$H$2,IF(R190=0,$H$7,IF(R190&lt;Q190,INDEX($H$7:$H$106,R190+1),$H$2))))</x:f>
      </x:c>
      <x:c r="W190" s="188" t="str">
        <x:f>IF(R190="","",IF(U190=S190,1,MAX(0,MIN(1,(P190-S190)/(U190-S190)))))</x:f>
      </x:c>
    </x:row>
    <x:row r="191">
      <x:c r="A191" s="159" t="str">
        <x:f>IF(OR(A190="",A190&gt;=$D$2),"",A190+1)</x:f>
      </x:c>
      <x:c r="B191" s="162" t="str">
        <x:f>IF(A191="","",IFERROR(SUMPRODUCT(--('Project Plan'!$A$7:$A$206&lt;&gt;""),('Project Plan'!$P$7:$P$206+('Project Plan'!$P$7:$P$206="")),--('Project Plan'!$F$7:$F$206&lt;&gt;""),--('Project Plan'!$G$7:$G$206&lt;&gt;""),((A191&gt;='Project Plan'!$G$7:$G$206)+((A191&gt;='Project Plan'!$F$7:$F$206)*(A191&lt;'Project Plan'!$G$7:$G$206)*(A191-'Project Plan'!$F$7:$F$206+1)/('Project Plan'!$G$7:$G$206-'Project Plan'!$F$7:$F$206+1))))/SUMPRODUCT(--('Project Plan'!$A$7:$A$206&lt;&gt;""),('Project Plan'!$P$7:$P$206+('Project Plan'!$P$7:$P$206=""))),0))</x:f>
      </x:c>
      <x:c r="C191" s="162" t="str">
        <x:f>IF(A191="","",IF(A191&gt;$F$2,"",IF(A191=$F$2,$H$2,IFERROR(LOOKUP(2,1/(($G$7:$G$106&lt;&gt;"")*($G$7:$G$106&lt;=A191)),$H$7:$H$106),""))))</x:f>
      </x:c>
      <x:c r="D191" s="162" t="str">
        <x:f>IF(C191="","",C191-B191)</x:f>
      </x:c>
      <x:c r="E191" s="163" t="str">
        <x:f>IF(D191="","",IF(D191&gt;=0,"On / Ahead",IF(D191&gt;=-0.05,"Watch","Behind")))</x:f>
      </x:c>
      <x:c r="J191"/>
      <x:c r="K191"/>
      <x:c r="L191"/>
      <x:c r="M191" t="str">
        <x:f>IF(A191="","",TEXT(A191,"mmm d"))</x:f>
      </x:c>
      <x:c r="N191" s="14" t="e">
        <x:f>IF(B191="",NA(),B191)</x:f>
        <x:v>#N/A</x:v>
      </x:c>
      <x:c r="O191" s="14" t="e">
        <x:f>IF(OR(P191="",$B$2="",$F$2="",P191&lt;$B$2,P191&gt;$F$2),NA(),IF(Q191=0,IF($F$2=$B$2,$H$2,MAX(0,MIN(1,$H$2*(3*MAX(0,MIN(1,(P191-$B$2)/($F$2-$B$2)))^2-2*MAX(0,MIN(1,(P191-$B$2)/($F$2-$B$2)))^3)))),MAX(0,MIN(1,T191+(V191-T191)*(3*W191^2-2*W191^3)))))</x:f>
        <x:v>#N/A</x:v>
      </x:c>
      <x:c r="P191" s="189" t="str">
        <x:f>A191</x:f>
      </x:c>
      <x:c r="Q191" t="n">
        <x:f>COUNT($G$7:$G$106)</x:f>
        <x:v>0</x:v>
      </x:c>
      <x:c r="R191" t="str">
        <x:f>IF(OR(P191="",$B$2="",$F$2="",P191&lt;$B$2,P191&gt;$F$2),"",IF(Q191=0,0,IF(P191&lt;$G$7,0,IF(P191&gt;=INDEX($G$7:$G$106,Q191),Q191,MATCH(P191,$G$7:$G$106,1)))))</x:f>
      </x:c>
      <x:c r="S191" t="str">
        <x:f>IF(R191="","",IF(R191=0,$B$2,INDEX($G$7:$G$106,R191)))</x:f>
      </x:c>
      <x:c r="T191" s="14" t="str">
        <x:f>IF(R191="","",IF(R191=0,0,INDEX($H$7:$H$106,R191)))</x:f>
      </x:c>
      <x:c r="U191" t="str">
        <x:f>IF(R191="","",IF(Q191=0,$F$2,IF(R191=0,$G$7,IF(R191&lt;Q191,INDEX($G$7:$G$106,R191+1),$F$2))))</x:f>
      </x:c>
      <x:c r="V191" s="14" t="str">
        <x:f>IF(R191="","",IF(Q191=0,$H$2,IF(R191=0,$H$7,IF(R191&lt;Q191,INDEX($H$7:$H$106,R191+1),$H$2))))</x:f>
      </x:c>
      <x:c r="W191" s="188" t="str">
        <x:f>IF(R191="","",IF(U191=S191,1,MAX(0,MIN(1,(P191-S191)/(U191-S191)))))</x:f>
      </x:c>
    </x:row>
    <x:row r="192">
      <x:c r="A192" s="159" t="str">
        <x:f>IF(OR(A191="",A191&gt;=$D$2),"",A191+1)</x:f>
      </x:c>
      <x:c r="B192" s="162" t="str">
        <x:f>IF(A192="","",IFERROR(SUMPRODUCT(--('Project Plan'!$A$7:$A$206&lt;&gt;""),('Project Plan'!$P$7:$P$206+('Project Plan'!$P$7:$P$206="")),--('Project Plan'!$F$7:$F$206&lt;&gt;""),--('Project Plan'!$G$7:$G$206&lt;&gt;""),((A192&gt;='Project Plan'!$G$7:$G$206)+((A192&gt;='Project Plan'!$F$7:$F$206)*(A192&lt;'Project Plan'!$G$7:$G$206)*(A192-'Project Plan'!$F$7:$F$206+1)/('Project Plan'!$G$7:$G$206-'Project Plan'!$F$7:$F$206+1))))/SUMPRODUCT(--('Project Plan'!$A$7:$A$206&lt;&gt;""),('Project Plan'!$P$7:$P$206+('Project Plan'!$P$7:$P$206=""))),0))</x:f>
      </x:c>
      <x:c r="C192" s="162" t="str">
        <x:f>IF(A192="","",IF(A192&gt;$F$2,"",IF(A192=$F$2,$H$2,IFERROR(LOOKUP(2,1/(($G$7:$G$106&lt;&gt;"")*($G$7:$G$106&lt;=A192)),$H$7:$H$106),""))))</x:f>
      </x:c>
      <x:c r="D192" s="162" t="str">
        <x:f>IF(C192="","",C192-B192)</x:f>
      </x:c>
      <x:c r="E192" s="163" t="str">
        <x:f>IF(D192="","",IF(D192&gt;=0,"On / Ahead",IF(D192&gt;=-0.05,"Watch","Behind")))</x:f>
      </x:c>
      <x:c r="J192"/>
      <x:c r="K192"/>
      <x:c r="L192"/>
      <x:c r="M192" t="str">
        <x:f>IF(A192="","",TEXT(A192,"mmm d"))</x:f>
      </x:c>
      <x:c r="N192" s="14" t="e">
        <x:f>IF(B192="",NA(),B192)</x:f>
        <x:v>#N/A</x:v>
      </x:c>
      <x:c r="O192" s="14" t="e">
        <x:f>IF(OR(P192="",$B$2="",$F$2="",P192&lt;$B$2,P192&gt;$F$2),NA(),IF(Q192=0,IF($F$2=$B$2,$H$2,MAX(0,MIN(1,$H$2*(3*MAX(0,MIN(1,(P192-$B$2)/($F$2-$B$2)))^2-2*MAX(0,MIN(1,(P192-$B$2)/($F$2-$B$2)))^3)))),MAX(0,MIN(1,T192+(V192-T192)*(3*W192^2-2*W192^3)))))</x:f>
        <x:v>#N/A</x:v>
      </x:c>
      <x:c r="P192" s="189" t="str">
        <x:f>A192</x:f>
      </x:c>
      <x:c r="Q192" t="n">
        <x:f>COUNT($G$7:$G$106)</x:f>
        <x:v>0</x:v>
      </x:c>
      <x:c r="R192" t="str">
        <x:f>IF(OR(P192="",$B$2="",$F$2="",P192&lt;$B$2,P192&gt;$F$2),"",IF(Q192=0,0,IF(P192&lt;$G$7,0,IF(P192&gt;=INDEX($G$7:$G$106,Q192),Q192,MATCH(P192,$G$7:$G$106,1)))))</x:f>
      </x:c>
      <x:c r="S192" t="str">
        <x:f>IF(R192="","",IF(R192=0,$B$2,INDEX($G$7:$G$106,R192)))</x:f>
      </x:c>
      <x:c r="T192" s="14" t="str">
        <x:f>IF(R192="","",IF(R192=0,0,INDEX($H$7:$H$106,R192)))</x:f>
      </x:c>
      <x:c r="U192" t="str">
        <x:f>IF(R192="","",IF(Q192=0,$F$2,IF(R192=0,$G$7,IF(R192&lt;Q192,INDEX($G$7:$G$106,R192+1),$F$2))))</x:f>
      </x:c>
      <x:c r="V192" s="14" t="str">
        <x:f>IF(R192="","",IF(Q192=0,$H$2,IF(R192=0,$H$7,IF(R192&lt;Q192,INDEX($H$7:$H$106,R192+1),$H$2))))</x:f>
      </x:c>
      <x:c r="W192" s="188" t="str">
        <x:f>IF(R192="","",IF(U192=S192,1,MAX(0,MIN(1,(P192-S192)/(U192-S192)))))</x:f>
      </x:c>
    </x:row>
    <x:row r="193">
      <x:c r="A193" s="159" t="str">
        <x:f>IF(OR(A192="",A192&gt;=$D$2),"",A192+1)</x:f>
      </x:c>
      <x:c r="B193" s="162" t="str">
        <x:f>IF(A193="","",IFERROR(SUMPRODUCT(--('Project Plan'!$A$7:$A$206&lt;&gt;""),('Project Plan'!$P$7:$P$206+('Project Plan'!$P$7:$P$206="")),--('Project Plan'!$F$7:$F$206&lt;&gt;""),--('Project Plan'!$G$7:$G$206&lt;&gt;""),((A193&gt;='Project Plan'!$G$7:$G$206)+((A193&gt;='Project Plan'!$F$7:$F$206)*(A193&lt;'Project Plan'!$G$7:$G$206)*(A193-'Project Plan'!$F$7:$F$206+1)/('Project Plan'!$G$7:$G$206-'Project Plan'!$F$7:$F$206+1))))/SUMPRODUCT(--('Project Plan'!$A$7:$A$206&lt;&gt;""),('Project Plan'!$P$7:$P$206+('Project Plan'!$P$7:$P$206=""))),0))</x:f>
      </x:c>
      <x:c r="C193" s="162" t="str">
        <x:f>IF(A193="","",IF(A193&gt;$F$2,"",IF(A193=$F$2,$H$2,IFERROR(LOOKUP(2,1/(($G$7:$G$106&lt;&gt;"")*($G$7:$G$106&lt;=A193)),$H$7:$H$106),""))))</x:f>
      </x:c>
      <x:c r="D193" s="162" t="str">
        <x:f>IF(C193="","",C193-B193)</x:f>
      </x:c>
      <x:c r="E193" s="163" t="str">
        <x:f>IF(D193="","",IF(D193&gt;=0,"On / Ahead",IF(D193&gt;=-0.05,"Watch","Behind")))</x:f>
      </x:c>
      <x:c r="J193"/>
      <x:c r="K193"/>
      <x:c r="L193"/>
      <x:c r="M193" t="str">
        <x:f>IF(A193="","",TEXT(A193,"mmm d"))</x:f>
      </x:c>
      <x:c r="N193" s="14" t="e">
        <x:f>IF(B193="",NA(),B193)</x:f>
        <x:v>#N/A</x:v>
      </x:c>
      <x:c r="O193" s="14" t="e">
        <x:f>IF(OR(P193="",$B$2="",$F$2="",P193&lt;$B$2,P193&gt;$F$2),NA(),IF(Q193=0,IF($F$2=$B$2,$H$2,MAX(0,MIN(1,$H$2*(3*MAX(0,MIN(1,(P193-$B$2)/($F$2-$B$2)))^2-2*MAX(0,MIN(1,(P193-$B$2)/($F$2-$B$2)))^3)))),MAX(0,MIN(1,T193+(V193-T193)*(3*W193^2-2*W193^3)))))</x:f>
        <x:v>#N/A</x:v>
      </x:c>
      <x:c r="P193" s="189" t="str">
        <x:f>A193</x:f>
      </x:c>
      <x:c r="Q193" t="n">
        <x:f>COUNT($G$7:$G$106)</x:f>
        <x:v>0</x:v>
      </x:c>
      <x:c r="R193" t="str">
        <x:f>IF(OR(P193="",$B$2="",$F$2="",P193&lt;$B$2,P193&gt;$F$2),"",IF(Q193=0,0,IF(P193&lt;$G$7,0,IF(P193&gt;=INDEX($G$7:$G$106,Q193),Q193,MATCH(P193,$G$7:$G$106,1)))))</x:f>
      </x:c>
      <x:c r="S193" t="str">
        <x:f>IF(R193="","",IF(R193=0,$B$2,INDEX($G$7:$G$106,R193)))</x:f>
      </x:c>
      <x:c r="T193" s="14" t="str">
        <x:f>IF(R193="","",IF(R193=0,0,INDEX($H$7:$H$106,R193)))</x:f>
      </x:c>
      <x:c r="U193" t="str">
        <x:f>IF(R193="","",IF(Q193=0,$F$2,IF(R193=0,$G$7,IF(R193&lt;Q193,INDEX($G$7:$G$106,R193+1),$F$2))))</x:f>
      </x:c>
      <x:c r="V193" s="14" t="str">
        <x:f>IF(R193="","",IF(Q193=0,$H$2,IF(R193=0,$H$7,IF(R193&lt;Q193,INDEX($H$7:$H$106,R193+1),$H$2))))</x:f>
      </x:c>
      <x:c r="W193" s="188" t="str">
        <x:f>IF(R193="","",IF(U193=S193,1,MAX(0,MIN(1,(P193-S193)/(U193-S193)))))</x:f>
      </x:c>
    </x:row>
    <x:row r="194">
      <x:c r="A194" s="159" t="str">
        <x:f>IF(OR(A193="",A193&gt;=$D$2),"",A193+1)</x:f>
      </x:c>
      <x:c r="B194" s="162" t="str">
        <x:f>IF(A194="","",IFERROR(SUMPRODUCT(--('Project Plan'!$A$7:$A$206&lt;&gt;""),('Project Plan'!$P$7:$P$206+('Project Plan'!$P$7:$P$206="")),--('Project Plan'!$F$7:$F$206&lt;&gt;""),--('Project Plan'!$G$7:$G$206&lt;&gt;""),((A194&gt;='Project Plan'!$G$7:$G$206)+((A194&gt;='Project Plan'!$F$7:$F$206)*(A194&lt;'Project Plan'!$G$7:$G$206)*(A194-'Project Plan'!$F$7:$F$206+1)/('Project Plan'!$G$7:$G$206-'Project Plan'!$F$7:$F$206+1))))/SUMPRODUCT(--('Project Plan'!$A$7:$A$206&lt;&gt;""),('Project Plan'!$P$7:$P$206+('Project Plan'!$P$7:$P$206=""))),0))</x:f>
      </x:c>
      <x:c r="C194" s="162" t="str">
        <x:f>IF(A194="","",IF(A194&gt;$F$2,"",IF(A194=$F$2,$H$2,IFERROR(LOOKUP(2,1/(($G$7:$G$106&lt;&gt;"")*($G$7:$G$106&lt;=A194)),$H$7:$H$106),""))))</x:f>
      </x:c>
      <x:c r="D194" s="162" t="str">
        <x:f>IF(C194="","",C194-B194)</x:f>
      </x:c>
      <x:c r="E194" s="163" t="str">
        <x:f>IF(D194="","",IF(D194&gt;=0,"On / Ahead",IF(D194&gt;=-0.05,"Watch","Behind")))</x:f>
      </x:c>
      <x:c r="J194"/>
      <x:c r="K194"/>
      <x:c r="L194"/>
      <x:c r="M194" t="str">
        <x:f>IF(A194="","",TEXT(A194,"mmm d"))</x:f>
      </x:c>
      <x:c r="N194" s="14" t="e">
        <x:f>IF(B194="",NA(),B194)</x:f>
        <x:v>#N/A</x:v>
      </x:c>
      <x:c r="O194" s="14" t="e">
        <x:f>IF(OR(P194="",$B$2="",$F$2="",P194&lt;$B$2,P194&gt;$F$2),NA(),IF(Q194=0,IF($F$2=$B$2,$H$2,MAX(0,MIN(1,$H$2*(3*MAX(0,MIN(1,(P194-$B$2)/($F$2-$B$2)))^2-2*MAX(0,MIN(1,(P194-$B$2)/($F$2-$B$2)))^3)))),MAX(0,MIN(1,T194+(V194-T194)*(3*W194^2-2*W194^3)))))</x:f>
        <x:v>#N/A</x:v>
      </x:c>
      <x:c r="P194" s="189" t="str">
        <x:f>A194</x:f>
      </x:c>
      <x:c r="Q194" t="n">
        <x:f>COUNT($G$7:$G$106)</x:f>
        <x:v>0</x:v>
      </x:c>
      <x:c r="R194" t="str">
        <x:f>IF(OR(P194="",$B$2="",$F$2="",P194&lt;$B$2,P194&gt;$F$2),"",IF(Q194=0,0,IF(P194&lt;$G$7,0,IF(P194&gt;=INDEX($G$7:$G$106,Q194),Q194,MATCH(P194,$G$7:$G$106,1)))))</x:f>
      </x:c>
      <x:c r="S194" t="str">
        <x:f>IF(R194="","",IF(R194=0,$B$2,INDEX($G$7:$G$106,R194)))</x:f>
      </x:c>
      <x:c r="T194" s="14" t="str">
        <x:f>IF(R194="","",IF(R194=0,0,INDEX($H$7:$H$106,R194)))</x:f>
      </x:c>
      <x:c r="U194" t="str">
        <x:f>IF(R194="","",IF(Q194=0,$F$2,IF(R194=0,$G$7,IF(R194&lt;Q194,INDEX($G$7:$G$106,R194+1),$F$2))))</x:f>
      </x:c>
      <x:c r="V194" s="14" t="str">
        <x:f>IF(R194="","",IF(Q194=0,$H$2,IF(R194=0,$H$7,IF(R194&lt;Q194,INDEX($H$7:$H$106,R194+1),$H$2))))</x:f>
      </x:c>
      <x:c r="W194" s="188" t="str">
        <x:f>IF(R194="","",IF(U194=S194,1,MAX(0,MIN(1,(P194-S194)/(U194-S194)))))</x:f>
      </x:c>
    </x:row>
    <x:row r="195">
      <x:c r="A195" s="159" t="str">
        <x:f>IF(OR(A194="",A194&gt;=$D$2),"",A194+1)</x:f>
      </x:c>
      <x:c r="B195" s="162" t="str">
        <x:f>IF(A195="","",IFERROR(SUMPRODUCT(--('Project Plan'!$A$7:$A$206&lt;&gt;""),('Project Plan'!$P$7:$P$206+('Project Plan'!$P$7:$P$206="")),--('Project Plan'!$F$7:$F$206&lt;&gt;""),--('Project Plan'!$G$7:$G$206&lt;&gt;""),((A195&gt;='Project Plan'!$G$7:$G$206)+((A195&gt;='Project Plan'!$F$7:$F$206)*(A195&lt;'Project Plan'!$G$7:$G$206)*(A195-'Project Plan'!$F$7:$F$206+1)/('Project Plan'!$G$7:$G$206-'Project Plan'!$F$7:$F$206+1))))/SUMPRODUCT(--('Project Plan'!$A$7:$A$206&lt;&gt;""),('Project Plan'!$P$7:$P$206+('Project Plan'!$P$7:$P$206=""))),0))</x:f>
      </x:c>
      <x:c r="C195" s="162" t="str">
        <x:f>IF(A195="","",IF(A195&gt;$F$2,"",IF(A195=$F$2,$H$2,IFERROR(LOOKUP(2,1/(($G$7:$G$106&lt;&gt;"")*($G$7:$G$106&lt;=A195)),$H$7:$H$106),""))))</x:f>
      </x:c>
      <x:c r="D195" s="162" t="str">
        <x:f>IF(C195="","",C195-B195)</x:f>
      </x:c>
      <x:c r="E195" s="163" t="str">
        <x:f>IF(D195="","",IF(D195&gt;=0,"On / Ahead",IF(D195&gt;=-0.05,"Watch","Behind")))</x:f>
      </x:c>
      <x:c r="J195"/>
      <x:c r="K195"/>
      <x:c r="L195"/>
      <x:c r="M195" t="str">
        <x:f>IF(A195="","",TEXT(A195,"mmm d"))</x:f>
      </x:c>
      <x:c r="N195" s="14" t="e">
        <x:f>IF(B195="",NA(),B195)</x:f>
        <x:v>#N/A</x:v>
      </x:c>
      <x:c r="O195" s="14" t="e">
        <x:f>IF(OR(P195="",$B$2="",$F$2="",P195&lt;$B$2,P195&gt;$F$2),NA(),IF(Q195=0,IF($F$2=$B$2,$H$2,MAX(0,MIN(1,$H$2*(3*MAX(0,MIN(1,(P195-$B$2)/($F$2-$B$2)))^2-2*MAX(0,MIN(1,(P195-$B$2)/($F$2-$B$2)))^3)))),MAX(0,MIN(1,T195+(V195-T195)*(3*W195^2-2*W195^3)))))</x:f>
        <x:v>#N/A</x:v>
      </x:c>
      <x:c r="P195" s="189" t="str">
        <x:f>A195</x:f>
      </x:c>
      <x:c r="Q195" t="n">
        <x:f>COUNT($G$7:$G$106)</x:f>
        <x:v>0</x:v>
      </x:c>
      <x:c r="R195" t="str">
        <x:f>IF(OR(P195="",$B$2="",$F$2="",P195&lt;$B$2,P195&gt;$F$2),"",IF(Q195=0,0,IF(P195&lt;$G$7,0,IF(P195&gt;=INDEX($G$7:$G$106,Q195),Q195,MATCH(P195,$G$7:$G$106,1)))))</x:f>
      </x:c>
      <x:c r="S195" t="str">
        <x:f>IF(R195="","",IF(R195=0,$B$2,INDEX($G$7:$G$106,R195)))</x:f>
      </x:c>
      <x:c r="T195" s="14" t="str">
        <x:f>IF(R195="","",IF(R195=0,0,INDEX($H$7:$H$106,R195)))</x:f>
      </x:c>
      <x:c r="U195" t="str">
        <x:f>IF(R195="","",IF(Q195=0,$F$2,IF(R195=0,$G$7,IF(R195&lt;Q195,INDEX($G$7:$G$106,R195+1),$F$2))))</x:f>
      </x:c>
      <x:c r="V195" s="14" t="str">
        <x:f>IF(R195="","",IF(Q195=0,$H$2,IF(R195=0,$H$7,IF(R195&lt;Q195,INDEX($H$7:$H$106,R195+1),$H$2))))</x:f>
      </x:c>
      <x:c r="W195" s="188" t="str">
        <x:f>IF(R195="","",IF(U195=S195,1,MAX(0,MIN(1,(P195-S195)/(U195-S195)))))</x:f>
      </x:c>
    </x:row>
    <x:row r="196">
      <x:c r="A196" s="159" t="str">
        <x:f>IF(OR(A195="",A195&gt;=$D$2),"",A195+1)</x:f>
      </x:c>
      <x:c r="B196" s="162" t="str">
        <x:f>IF(A196="","",IFERROR(SUMPRODUCT(--('Project Plan'!$A$7:$A$206&lt;&gt;""),('Project Plan'!$P$7:$P$206+('Project Plan'!$P$7:$P$206="")),--('Project Plan'!$F$7:$F$206&lt;&gt;""),--('Project Plan'!$G$7:$G$206&lt;&gt;""),((A196&gt;='Project Plan'!$G$7:$G$206)+((A196&gt;='Project Plan'!$F$7:$F$206)*(A196&lt;'Project Plan'!$G$7:$G$206)*(A196-'Project Plan'!$F$7:$F$206+1)/('Project Plan'!$G$7:$G$206-'Project Plan'!$F$7:$F$206+1))))/SUMPRODUCT(--('Project Plan'!$A$7:$A$206&lt;&gt;""),('Project Plan'!$P$7:$P$206+('Project Plan'!$P$7:$P$206=""))),0))</x:f>
      </x:c>
      <x:c r="C196" s="162" t="str">
        <x:f>IF(A196="","",IF(A196&gt;$F$2,"",IF(A196=$F$2,$H$2,IFERROR(LOOKUP(2,1/(($G$7:$G$106&lt;&gt;"")*($G$7:$G$106&lt;=A196)),$H$7:$H$106),""))))</x:f>
      </x:c>
      <x:c r="D196" s="162" t="str">
        <x:f>IF(C196="","",C196-B196)</x:f>
      </x:c>
      <x:c r="E196" s="163" t="str">
        <x:f>IF(D196="","",IF(D196&gt;=0,"On / Ahead",IF(D196&gt;=-0.05,"Watch","Behind")))</x:f>
      </x:c>
      <x:c r="J196"/>
      <x:c r="K196"/>
      <x:c r="L196"/>
      <x:c r="M196" t="str">
        <x:f>IF(A196="","",TEXT(A196,"mmm d"))</x:f>
      </x:c>
      <x:c r="N196" s="14" t="e">
        <x:f>IF(B196="",NA(),B196)</x:f>
        <x:v>#N/A</x:v>
      </x:c>
      <x:c r="O196" s="14" t="e">
        <x:f>IF(OR(P196="",$B$2="",$F$2="",P196&lt;$B$2,P196&gt;$F$2),NA(),IF(Q196=0,IF($F$2=$B$2,$H$2,MAX(0,MIN(1,$H$2*(3*MAX(0,MIN(1,(P196-$B$2)/($F$2-$B$2)))^2-2*MAX(0,MIN(1,(P196-$B$2)/($F$2-$B$2)))^3)))),MAX(0,MIN(1,T196+(V196-T196)*(3*W196^2-2*W196^3)))))</x:f>
        <x:v>#N/A</x:v>
      </x:c>
      <x:c r="P196" s="189" t="str">
        <x:f>A196</x:f>
      </x:c>
      <x:c r="Q196" t="n">
        <x:f>COUNT($G$7:$G$106)</x:f>
        <x:v>0</x:v>
      </x:c>
      <x:c r="R196" t="str">
        <x:f>IF(OR(P196="",$B$2="",$F$2="",P196&lt;$B$2,P196&gt;$F$2),"",IF(Q196=0,0,IF(P196&lt;$G$7,0,IF(P196&gt;=INDEX($G$7:$G$106,Q196),Q196,MATCH(P196,$G$7:$G$106,1)))))</x:f>
      </x:c>
      <x:c r="S196" t="str">
        <x:f>IF(R196="","",IF(R196=0,$B$2,INDEX($G$7:$G$106,R196)))</x:f>
      </x:c>
      <x:c r="T196" s="14" t="str">
        <x:f>IF(R196="","",IF(R196=0,0,INDEX($H$7:$H$106,R196)))</x:f>
      </x:c>
      <x:c r="U196" t="str">
        <x:f>IF(R196="","",IF(Q196=0,$F$2,IF(R196=0,$G$7,IF(R196&lt;Q196,INDEX($G$7:$G$106,R196+1),$F$2))))</x:f>
      </x:c>
      <x:c r="V196" s="14" t="str">
        <x:f>IF(R196="","",IF(Q196=0,$H$2,IF(R196=0,$H$7,IF(R196&lt;Q196,INDEX($H$7:$H$106,R196+1),$H$2))))</x:f>
      </x:c>
      <x:c r="W196" s="188" t="str">
        <x:f>IF(R196="","",IF(U196=S196,1,MAX(0,MIN(1,(P196-S196)/(U196-S196)))))</x:f>
      </x:c>
    </x:row>
    <x:row r="197">
      <x:c r="A197" s="159" t="str">
        <x:f>IF(OR(A196="",A196&gt;=$D$2),"",A196+1)</x:f>
      </x:c>
      <x:c r="B197" s="162" t="str">
        <x:f>IF(A197="","",IFERROR(SUMPRODUCT(--('Project Plan'!$A$7:$A$206&lt;&gt;""),('Project Plan'!$P$7:$P$206+('Project Plan'!$P$7:$P$206="")),--('Project Plan'!$F$7:$F$206&lt;&gt;""),--('Project Plan'!$G$7:$G$206&lt;&gt;""),((A197&gt;='Project Plan'!$G$7:$G$206)+((A197&gt;='Project Plan'!$F$7:$F$206)*(A197&lt;'Project Plan'!$G$7:$G$206)*(A197-'Project Plan'!$F$7:$F$206+1)/('Project Plan'!$G$7:$G$206-'Project Plan'!$F$7:$F$206+1))))/SUMPRODUCT(--('Project Plan'!$A$7:$A$206&lt;&gt;""),('Project Plan'!$P$7:$P$206+('Project Plan'!$P$7:$P$206=""))),0))</x:f>
      </x:c>
      <x:c r="C197" s="162" t="str">
        <x:f>IF(A197="","",IF(A197&gt;$F$2,"",IF(A197=$F$2,$H$2,IFERROR(LOOKUP(2,1/(($G$7:$G$106&lt;&gt;"")*($G$7:$G$106&lt;=A197)),$H$7:$H$106),""))))</x:f>
      </x:c>
      <x:c r="D197" s="162" t="str">
        <x:f>IF(C197="","",C197-B197)</x:f>
      </x:c>
      <x:c r="E197" s="163" t="str">
        <x:f>IF(D197="","",IF(D197&gt;=0,"On / Ahead",IF(D197&gt;=-0.05,"Watch","Behind")))</x:f>
      </x:c>
      <x:c r="J197"/>
      <x:c r="K197"/>
      <x:c r="L197"/>
      <x:c r="M197" t="str">
        <x:f>IF(A197="","",TEXT(A197,"mmm d"))</x:f>
      </x:c>
      <x:c r="N197" s="14" t="e">
        <x:f>IF(B197="",NA(),B197)</x:f>
        <x:v>#N/A</x:v>
      </x:c>
      <x:c r="O197" s="14" t="e">
        <x:f>IF(OR(P197="",$B$2="",$F$2="",P197&lt;$B$2,P197&gt;$F$2),NA(),IF(Q197=0,IF($F$2=$B$2,$H$2,MAX(0,MIN(1,$H$2*(3*MAX(0,MIN(1,(P197-$B$2)/($F$2-$B$2)))^2-2*MAX(0,MIN(1,(P197-$B$2)/($F$2-$B$2)))^3)))),MAX(0,MIN(1,T197+(V197-T197)*(3*W197^2-2*W197^3)))))</x:f>
        <x:v>#N/A</x:v>
      </x:c>
      <x:c r="P197" s="189" t="str">
        <x:f>A197</x:f>
      </x:c>
      <x:c r="Q197" t="n">
        <x:f>COUNT($G$7:$G$106)</x:f>
        <x:v>0</x:v>
      </x:c>
      <x:c r="R197" t="str">
        <x:f>IF(OR(P197="",$B$2="",$F$2="",P197&lt;$B$2,P197&gt;$F$2),"",IF(Q197=0,0,IF(P197&lt;$G$7,0,IF(P197&gt;=INDEX($G$7:$G$106,Q197),Q197,MATCH(P197,$G$7:$G$106,1)))))</x:f>
      </x:c>
      <x:c r="S197" t="str">
        <x:f>IF(R197="","",IF(R197=0,$B$2,INDEX($G$7:$G$106,R197)))</x:f>
      </x:c>
      <x:c r="T197" s="14" t="str">
        <x:f>IF(R197="","",IF(R197=0,0,INDEX($H$7:$H$106,R197)))</x:f>
      </x:c>
      <x:c r="U197" t="str">
        <x:f>IF(R197="","",IF(Q197=0,$F$2,IF(R197=0,$G$7,IF(R197&lt;Q197,INDEX($G$7:$G$106,R197+1),$F$2))))</x:f>
      </x:c>
      <x:c r="V197" s="14" t="str">
        <x:f>IF(R197="","",IF(Q197=0,$H$2,IF(R197=0,$H$7,IF(R197&lt;Q197,INDEX($H$7:$H$106,R197+1),$H$2))))</x:f>
      </x:c>
      <x:c r="W197" s="188" t="str">
        <x:f>IF(R197="","",IF(U197=S197,1,MAX(0,MIN(1,(P197-S197)/(U197-S197)))))</x:f>
      </x:c>
    </x:row>
    <x:row r="198">
      <x:c r="A198" s="159" t="str">
        <x:f>IF(OR(A197="",A197&gt;=$D$2),"",A197+1)</x:f>
      </x:c>
      <x:c r="B198" s="162" t="str">
        <x:f>IF(A198="","",IFERROR(SUMPRODUCT(--('Project Plan'!$A$7:$A$206&lt;&gt;""),('Project Plan'!$P$7:$P$206+('Project Plan'!$P$7:$P$206="")),--('Project Plan'!$F$7:$F$206&lt;&gt;""),--('Project Plan'!$G$7:$G$206&lt;&gt;""),((A198&gt;='Project Plan'!$G$7:$G$206)+((A198&gt;='Project Plan'!$F$7:$F$206)*(A198&lt;'Project Plan'!$G$7:$G$206)*(A198-'Project Plan'!$F$7:$F$206+1)/('Project Plan'!$G$7:$G$206-'Project Plan'!$F$7:$F$206+1))))/SUMPRODUCT(--('Project Plan'!$A$7:$A$206&lt;&gt;""),('Project Plan'!$P$7:$P$206+('Project Plan'!$P$7:$P$206=""))),0))</x:f>
      </x:c>
      <x:c r="C198" s="162" t="str">
        <x:f>IF(A198="","",IF(A198&gt;$F$2,"",IF(A198=$F$2,$H$2,IFERROR(LOOKUP(2,1/(($G$7:$G$106&lt;&gt;"")*($G$7:$G$106&lt;=A198)),$H$7:$H$106),""))))</x:f>
      </x:c>
      <x:c r="D198" s="162" t="str">
        <x:f>IF(C198="","",C198-B198)</x:f>
      </x:c>
      <x:c r="E198" s="163" t="str">
        <x:f>IF(D198="","",IF(D198&gt;=0,"On / Ahead",IF(D198&gt;=-0.05,"Watch","Behind")))</x:f>
      </x:c>
      <x:c r="J198"/>
      <x:c r="K198"/>
      <x:c r="L198"/>
      <x:c r="M198" t="str">
        <x:f>IF(A198="","",TEXT(A198,"mmm d"))</x:f>
      </x:c>
      <x:c r="N198" s="14" t="e">
        <x:f>IF(B198="",NA(),B198)</x:f>
        <x:v>#N/A</x:v>
      </x:c>
      <x:c r="O198" s="14" t="e">
        <x:f>IF(OR(P198="",$B$2="",$F$2="",P198&lt;$B$2,P198&gt;$F$2),NA(),IF(Q198=0,IF($F$2=$B$2,$H$2,MAX(0,MIN(1,$H$2*(3*MAX(0,MIN(1,(P198-$B$2)/($F$2-$B$2)))^2-2*MAX(0,MIN(1,(P198-$B$2)/($F$2-$B$2)))^3)))),MAX(0,MIN(1,T198+(V198-T198)*(3*W198^2-2*W198^3)))))</x:f>
        <x:v>#N/A</x:v>
      </x:c>
      <x:c r="P198" s="189" t="str">
        <x:f>A198</x:f>
      </x:c>
      <x:c r="Q198" t="n">
        <x:f>COUNT($G$7:$G$106)</x:f>
        <x:v>0</x:v>
      </x:c>
      <x:c r="R198" t="str">
        <x:f>IF(OR(P198="",$B$2="",$F$2="",P198&lt;$B$2,P198&gt;$F$2),"",IF(Q198=0,0,IF(P198&lt;$G$7,0,IF(P198&gt;=INDEX($G$7:$G$106,Q198),Q198,MATCH(P198,$G$7:$G$106,1)))))</x:f>
      </x:c>
      <x:c r="S198" t="str">
        <x:f>IF(R198="","",IF(R198=0,$B$2,INDEX($G$7:$G$106,R198)))</x:f>
      </x:c>
      <x:c r="T198" s="14" t="str">
        <x:f>IF(R198="","",IF(R198=0,0,INDEX($H$7:$H$106,R198)))</x:f>
      </x:c>
      <x:c r="U198" t="str">
        <x:f>IF(R198="","",IF(Q198=0,$F$2,IF(R198=0,$G$7,IF(R198&lt;Q198,INDEX($G$7:$G$106,R198+1),$F$2))))</x:f>
      </x:c>
      <x:c r="V198" s="14" t="str">
        <x:f>IF(R198="","",IF(Q198=0,$H$2,IF(R198=0,$H$7,IF(R198&lt;Q198,INDEX($H$7:$H$106,R198+1),$H$2))))</x:f>
      </x:c>
      <x:c r="W198" s="188" t="str">
        <x:f>IF(R198="","",IF(U198=S198,1,MAX(0,MIN(1,(P198-S198)/(U198-S198)))))</x:f>
      </x:c>
    </x:row>
    <x:row r="199">
      <x:c r="A199" s="159" t="str">
        <x:f>IF(OR(A198="",A198&gt;=$D$2),"",A198+1)</x:f>
      </x:c>
      <x:c r="B199" s="162" t="str">
        <x:f>IF(A199="","",IFERROR(SUMPRODUCT(--('Project Plan'!$A$7:$A$206&lt;&gt;""),('Project Plan'!$P$7:$P$206+('Project Plan'!$P$7:$P$206="")),--('Project Plan'!$F$7:$F$206&lt;&gt;""),--('Project Plan'!$G$7:$G$206&lt;&gt;""),((A199&gt;='Project Plan'!$G$7:$G$206)+((A199&gt;='Project Plan'!$F$7:$F$206)*(A199&lt;'Project Plan'!$G$7:$G$206)*(A199-'Project Plan'!$F$7:$F$206+1)/('Project Plan'!$G$7:$G$206-'Project Plan'!$F$7:$F$206+1))))/SUMPRODUCT(--('Project Plan'!$A$7:$A$206&lt;&gt;""),('Project Plan'!$P$7:$P$206+('Project Plan'!$P$7:$P$206=""))),0))</x:f>
      </x:c>
      <x:c r="C199" s="162" t="str">
        <x:f>IF(A199="","",IF(A199&gt;$F$2,"",IF(A199=$F$2,$H$2,IFERROR(LOOKUP(2,1/(($G$7:$G$106&lt;&gt;"")*($G$7:$G$106&lt;=A199)),$H$7:$H$106),""))))</x:f>
      </x:c>
      <x:c r="D199" s="162" t="str">
        <x:f>IF(C199="","",C199-B199)</x:f>
      </x:c>
      <x:c r="E199" s="163" t="str">
        <x:f>IF(D199="","",IF(D199&gt;=0,"On / Ahead",IF(D199&gt;=-0.05,"Watch","Behind")))</x:f>
      </x:c>
      <x:c r="J199"/>
      <x:c r="K199"/>
      <x:c r="L199"/>
      <x:c r="M199" t="str">
        <x:f>IF(A199="","",TEXT(A199,"mmm d"))</x:f>
      </x:c>
      <x:c r="N199" s="14" t="e">
        <x:f>IF(B199="",NA(),B199)</x:f>
        <x:v>#N/A</x:v>
      </x:c>
      <x:c r="O199" s="14" t="e">
        <x:f>IF(OR(P199="",$B$2="",$F$2="",P199&lt;$B$2,P199&gt;$F$2),NA(),IF(Q199=0,IF($F$2=$B$2,$H$2,MAX(0,MIN(1,$H$2*(3*MAX(0,MIN(1,(P199-$B$2)/($F$2-$B$2)))^2-2*MAX(0,MIN(1,(P199-$B$2)/($F$2-$B$2)))^3)))),MAX(0,MIN(1,T199+(V199-T199)*(3*W199^2-2*W199^3)))))</x:f>
        <x:v>#N/A</x:v>
      </x:c>
      <x:c r="P199" s="189" t="str">
        <x:f>A199</x:f>
      </x:c>
      <x:c r="Q199" t="n">
        <x:f>COUNT($G$7:$G$106)</x:f>
        <x:v>0</x:v>
      </x:c>
      <x:c r="R199" t="str">
        <x:f>IF(OR(P199="",$B$2="",$F$2="",P199&lt;$B$2,P199&gt;$F$2),"",IF(Q199=0,0,IF(P199&lt;$G$7,0,IF(P199&gt;=INDEX($G$7:$G$106,Q199),Q199,MATCH(P199,$G$7:$G$106,1)))))</x:f>
      </x:c>
      <x:c r="S199" t="str">
        <x:f>IF(R199="","",IF(R199=0,$B$2,INDEX($G$7:$G$106,R199)))</x:f>
      </x:c>
      <x:c r="T199" s="14" t="str">
        <x:f>IF(R199="","",IF(R199=0,0,INDEX($H$7:$H$106,R199)))</x:f>
      </x:c>
      <x:c r="U199" t="str">
        <x:f>IF(R199="","",IF(Q199=0,$F$2,IF(R199=0,$G$7,IF(R199&lt;Q199,INDEX($G$7:$G$106,R199+1),$F$2))))</x:f>
      </x:c>
      <x:c r="V199" s="14" t="str">
        <x:f>IF(R199="","",IF(Q199=0,$H$2,IF(R199=0,$H$7,IF(R199&lt;Q199,INDEX($H$7:$H$106,R199+1),$H$2))))</x:f>
      </x:c>
      <x:c r="W199" s="188" t="str">
        <x:f>IF(R199="","",IF(U199=S199,1,MAX(0,MIN(1,(P199-S199)/(U199-S199)))))</x:f>
      </x:c>
    </x:row>
    <x:row r="200">
      <x:c r="A200" s="159" t="str">
        <x:f>IF(OR(A199="",A199&gt;=$D$2),"",A199+1)</x:f>
      </x:c>
      <x:c r="B200" s="162" t="str">
        <x:f>IF(A200="","",IFERROR(SUMPRODUCT(--('Project Plan'!$A$7:$A$206&lt;&gt;""),('Project Plan'!$P$7:$P$206+('Project Plan'!$P$7:$P$206="")),--('Project Plan'!$F$7:$F$206&lt;&gt;""),--('Project Plan'!$G$7:$G$206&lt;&gt;""),((A200&gt;='Project Plan'!$G$7:$G$206)+((A200&gt;='Project Plan'!$F$7:$F$206)*(A200&lt;'Project Plan'!$G$7:$G$206)*(A200-'Project Plan'!$F$7:$F$206+1)/('Project Plan'!$G$7:$G$206-'Project Plan'!$F$7:$F$206+1))))/SUMPRODUCT(--('Project Plan'!$A$7:$A$206&lt;&gt;""),('Project Plan'!$P$7:$P$206+('Project Plan'!$P$7:$P$206=""))),0))</x:f>
      </x:c>
      <x:c r="C200" s="162" t="str">
        <x:f>IF(A200="","",IF(A200&gt;$F$2,"",IF(A200=$F$2,$H$2,IFERROR(LOOKUP(2,1/(($G$7:$G$106&lt;&gt;"")*($G$7:$G$106&lt;=A200)),$H$7:$H$106),""))))</x:f>
      </x:c>
      <x:c r="D200" s="162" t="str">
        <x:f>IF(C200="","",C200-B200)</x:f>
      </x:c>
      <x:c r="E200" s="163" t="str">
        <x:f>IF(D200="","",IF(D200&gt;=0,"On / Ahead",IF(D200&gt;=-0.05,"Watch","Behind")))</x:f>
      </x:c>
      <x:c r="J200"/>
      <x:c r="K200"/>
      <x:c r="L200"/>
      <x:c r="M200" t="str">
        <x:f>IF(A200="","",TEXT(A200,"mmm d"))</x:f>
      </x:c>
      <x:c r="N200" s="14" t="e">
        <x:f>IF(B200="",NA(),B200)</x:f>
        <x:v>#N/A</x:v>
      </x:c>
      <x:c r="O200" s="14" t="e">
        <x:f>IF(OR(P200="",$B$2="",$F$2="",P200&lt;$B$2,P200&gt;$F$2),NA(),IF(Q200=0,IF($F$2=$B$2,$H$2,MAX(0,MIN(1,$H$2*(3*MAX(0,MIN(1,(P200-$B$2)/($F$2-$B$2)))^2-2*MAX(0,MIN(1,(P200-$B$2)/($F$2-$B$2)))^3)))),MAX(0,MIN(1,T200+(V200-T200)*(3*W200^2-2*W200^3)))))</x:f>
        <x:v>#N/A</x:v>
      </x:c>
      <x:c r="P200" s="189" t="str">
        <x:f>A200</x:f>
      </x:c>
      <x:c r="Q200" t="n">
        <x:f>COUNT($G$7:$G$106)</x:f>
        <x:v>0</x:v>
      </x:c>
      <x:c r="R200" t="str">
        <x:f>IF(OR(P200="",$B$2="",$F$2="",P200&lt;$B$2,P200&gt;$F$2),"",IF(Q200=0,0,IF(P200&lt;$G$7,0,IF(P200&gt;=INDEX($G$7:$G$106,Q200),Q200,MATCH(P200,$G$7:$G$106,1)))))</x:f>
      </x:c>
      <x:c r="S200" t="str">
        <x:f>IF(R200="","",IF(R200=0,$B$2,INDEX($G$7:$G$106,R200)))</x:f>
      </x:c>
      <x:c r="T200" s="14" t="str">
        <x:f>IF(R200="","",IF(R200=0,0,INDEX($H$7:$H$106,R200)))</x:f>
      </x:c>
      <x:c r="U200" t="str">
        <x:f>IF(R200="","",IF(Q200=0,$F$2,IF(R200=0,$G$7,IF(R200&lt;Q200,INDEX($G$7:$G$106,R200+1),$F$2))))</x:f>
      </x:c>
      <x:c r="V200" s="14" t="str">
        <x:f>IF(R200="","",IF(Q200=0,$H$2,IF(R200=0,$H$7,IF(R200&lt;Q200,INDEX($H$7:$H$106,R200+1),$H$2))))</x:f>
      </x:c>
      <x:c r="W200" s="188" t="str">
        <x:f>IF(R200="","",IF(U200=S200,1,MAX(0,MIN(1,(P200-S200)/(U200-S200)))))</x:f>
      </x:c>
    </x:row>
    <x:row r="201">
      <x:c r="A201" s="159" t="str">
        <x:f>IF(OR(A200="",A200&gt;=$D$2),"",A200+1)</x:f>
      </x:c>
      <x:c r="B201" s="162" t="str">
        <x:f>IF(A201="","",IFERROR(SUMPRODUCT(--('Project Plan'!$A$7:$A$206&lt;&gt;""),('Project Plan'!$P$7:$P$206+('Project Plan'!$P$7:$P$206="")),--('Project Plan'!$F$7:$F$206&lt;&gt;""),--('Project Plan'!$G$7:$G$206&lt;&gt;""),((A201&gt;='Project Plan'!$G$7:$G$206)+((A201&gt;='Project Plan'!$F$7:$F$206)*(A201&lt;'Project Plan'!$G$7:$G$206)*(A201-'Project Plan'!$F$7:$F$206+1)/('Project Plan'!$G$7:$G$206-'Project Plan'!$F$7:$F$206+1))))/SUMPRODUCT(--('Project Plan'!$A$7:$A$206&lt;&gt;""),('Project Plan'!$P$7:$P$206+('Project Plan'!$P$7:$P$206=""))),0))</x:f>
      </x:c>
      <x:c r="C201" s="162" t="str">
        <x:f>IF(A201="","",IF(A201&gt;$F$2,"",IF(A201=$F$2,$H$2,IFERROR(LOOKUP(2,1/(($G$7:$G$106&lt;&gt;"")*($G$7:$G$106&lt;=A201)),$H$7:$H$106),""))))</x:f>
      </x:c>
      <x:c r="D201" s="162" t="str">
        <x:f>IF(C201="","",C201-B201)</x:f>
      </x:c>
      <x:c r="E201" s="163" t="str">
        <x:f>IF(D201="","",IF(D201&gt;=0,"On / Ahead",IF(D201&gt;=-0.05,"Watch","Behind")))</x:f>
      </x:c>
      <x:c r="J201"/>
      <x:c r="K201"/>
      <x:c r="L201"/>
      <x:c r="M201" t="str">
        <x:f>IF(A201="","",TEXT(A201,"mmm d"))</x:f>
      </x:c>
      <x:c r="N201" s="14" t="e">
        <x:f>IF(B201="",NA(),B201)</x:f>
        <x:v>#N/A</x:v>
      </x:c>
      <x:c r="O201" s="14" t="e">
        <x:f>IF(OR(P201="",$B$2="",$F$2="",P201&lt;$B$2,P201&gt;$F$2),NA(),IF(Q201=0,IF($F$2=$B$2,$H$2,MAX(0,MIN(1,$H$2*(3*MAX(0,MIN(1,(P201-$B$2)/($F$2-$B$2)))^2-2*MAX(0,MIN(1,(P201-$B$2)/($F$2-$B$2)))^3)))),MAX(0,MIN(1,T201+(V201-T201)*(3*W201^2-2*W201^3)))))</x:f>
        <x:v>#N/A</x:v>
      </x:c>
      <x:c r="P201" s="189" t="str">
        <x:f>A201</x:f>
      </x:c>
      <x:c r="Q201" t="n">
        <x:f>COUNT($G$7:$G$106)</x:f>
        <x:v>0</x:v>
      </x:c>
      <x:c r="R201" t="str">
        <x:f>IF(OR(P201="",$B$2="",$F$2="",P201&lt;$B$2,P201&gt;$F$2),"",IF(Q201=0,0,IF(P201&lt;$G$7,0,IF(P201&gt;=INDEX($G$7:$G$106,Q201),Q201,MATCH(P201,$G$7:$G$106,1)))))</x:f>
      </x:c>
      <x:c r="S201" t="str">
        <x:f>IF(R201="","",IF(R201=0,$B$2,INDEX($G$7:$G$106,R201)))</x:f>
      </x:c>
      <x:c r="T201" s="14" t="str">
        <x:f>IF(R201="","",IF(R201=0,0,INDEX($H$7:$H$106,R201)))</x:f>
      </x:c>
      <x:c r="U201" t="str">
        <x:f>IF(R201="","",IF(Q201=0,$F$2,IF(R201=0,$G$7,IF(R201&lt;Q201,INDEX($G$7:$G$106,R201+1),$F$2))))</x:f>
      </x:c>
      <x:c r="V201" s="14" t="str">
        <x:f>IF(R201="","",IF(Q201=0,$H$2,IF(R201=0,$H$7,IF(R201&lt;Q201,INDEX($H$7:$H$106,R201+1),$H$2))))</x:f>
      </x:c>
      <x:c r="W201" s="188" t="str">
        <x:f>IF(R201="","",IF(U201=S201,1,MAX(0,MIN(1,(P201-S201)/(U201-S201)))))</x:f>
      </x:c>
    </x:row>
    <x:row r="202">
      <x:c r="A202" s="159" t="str">
        <x:f>IF(OR(A201="",A201&gt;=$D$2),"",A201+1)</x:f>
      </x:c>
      <x:c r="B202" s="162" t="str">
        <x:f>IF(A202="","",IFERROR(SUMPRODUCT(--('Project Plan'!$A$7:$A$206&lt;&gt;""),('Project Plan'!$P$7:$P$206+('Project Plan'!$P$7:$P$206="")),--('Project Plan'!$F$7:$F$206&lt;&gt;""),--('Project Plan'!$G$7:$G$206&lt;&gt;""),((A202&gt;='Project Plan'!$G$7:$G$206)+((A202&gt;='Project Plan'!$F$7:$F$206)*(A202&lt;'Project Plan'!$G$7:$G$206)*(A202-'Project Plan'!$F$7:$F$206+1)/('Project Plan'!$G$7:$G$206-'Project Plan'!$F$7:$F$206+1))))/SUMPRODUCT(--('Project Plan'!$A$7:$A$206&lt;&gt;""),('Project Plan'!$P$7:$P$206+('Project Plan'!$P$7:$P$206=""))),0))</x:f>
      </x:c>
      <x:c r="C202" s="162" t="str">
        <x:f>IF(A202="","",IF(A202&gt;$F$2,"",IF(A202=$F$2,$H$2,IFERROR(LOOKUP(2,1/(($G$7:$G$106&lt;&gt;"")*($G$7:$G$106&lt;=A202)),$H$7:$H$106),""))))</x:f>
      </x:c>
      <x:c r="D202" s="162" t="str">
        <x:f>IF(C202="","",C202-B202)</x:f>
      </x:c>
      <x:c r="E202" s="163" t="str">
        <x:f>IF(D202="","",IF(D202&gt;=0,"On / Ahead",IF(D202&gt;=-0.05,"Watch","Behind")))</x:f>
      </x:c>
      <x:c r="J202"/>
      <x:c r="K202"/>
      <x:c r="L202"/>
      <x:c r="M202" t="str">
        <x:f>IF(A202="","",TEXT(A202,"mmm d"))</x:f>
      </x:c>
      <x:c r="N202" s="14" t="e">
        <x:f>IF(B202="",NA(),B202)</x:f>
        <x:v>#N/A</x:v>
      </x:c>
      <x:c r="O202" s="14" t="e">
        <x:f>IF(OR(P202="",$B$2="",$F$2="",P202&lt;$B$2,P202&gt;$F$2),NA(),IF(Q202=0,IF($F$2=$B$2,$H$2,MAX(0,MIN(1,$H$2*(3*MAX(0,MIN(1,(P202-$B$2)/($F$2-$B$2)))^2-2*MAX(0,MIN(1,(P202-$B$2)/($F$2-$B$2)))^3)))),MAX(0,MIN(1,T202+(V202-T202)*(3*W202^2-2*W202^3)))))</x:f>
        <x:v>#N/A</x:v>
      </x:c>
      <x:c r="P202" s="189" t="str">
        <x:f>A202</x:f>
      </x:c>
      <x:c r="Q202" t="n">
        <x:f>COUNT($G$7:$G$106)</x:f>
        <x:v>0</x:v>
      </x:c>
      <x:c r="R202" t="str">
        <x:f>IF(OR(P202="",$B$2="",$F$2="",P202&lt;$B$2,P202&gt;$F$2),"",IF(Q202=0,0,IF(P202&lt;$G$7,0,IF(P202&gt;=INDEX($G$7:$G$106,Q202),Q202,MATCH(P202,$G$7:$G$106,1)))))</x:f>
      </x:c>
      <x:c r="S202" t="str">
        <x:f>IF(R202="","",IF(R202=0,$B$2,INDEX($G$7:$G$106,R202)))</x:f>
      </x:c>
      <x:c r="T202" s="14" t="str">
        <x:f>IF(R202="","",IF(R202=0,0,INDEX($H$7:$H$106,R202)))</x:f>
      </x:c>
      <x:c r="U202" t="str">
        <x:f>IF(R202="","",IF(Q202=0,$F$2,IF(R202=0,$G$7,IF(R202&lt;Q202,INDEX($G$7:$G$106,R202+1),$F$2))))</x:f>
      </x:c>
      <x:c r="V202" s="14" t="str">
        <x:f>IF(R202="","",IF(Q202=0,$H$2,IF(R202=0,$H$7,IF(R202&lt;Q202,INDEX($H$7:$H$106,R202+1),$H$2))))</x:f>
      </x:c>
      <x:c r="W202" s="188" t="str">
        <x:f>IF(R202="","",IF(U202=S202,1,MAX(0,MIN(1,(P202-S202)/(U202-S202)))))</x:f>
      </x:c>
    </x:row>
    <x:row r="203">
      <x:c r="A203" s="159" t="str">
        <x:f>IF(OR(A202="",A202&gt;=$D$2),"",A202+1)</x:f>
      </x:c>
      <x:c r="B203" s="162" t="str">
        <x:f>IF(A203="","",IFERROR(SUMPRODUCT(--('Project Plan'!$A$7:$A$206&lt;&gt;""),('Project Plan'!$P$7:$P$206+('Project Plan'!$P$7:$P$206="")),--('Project Plan'!$F$7:$F$206&lt;&gt;""),--('Project Plan'!$G$7:$G$206&lt;&gt;""),((A203&gt;='Project Plan'!$G$7:$G$206)+((A203&gt;='Project Plan'!$F$7:$F$206)*(A203&lt;'Project Plan'!$G$7:$G$206)*(A203-'Project Plan'!$F$7:$F$206+1)/('Project Plan'!$G$7:$G$206-'Project Plan'!$F$7:$F$206+1))))/SUMPRODUCT(--('Project Plan'!$A$7:$A$206&lt;&gt;""),('Project Plan'!$P$7:$P$206+('Project Plan'!$P$7:$P$206=""))),0))</x:f>
      </x:c>
      <x:c r="C203" s="162" t="str">
        <x:f>IF(A203="","",IF(A203&gt;$F$2,"",IF(A203=$F$2,$H$2,IFERROR(LOOKUP(2,1/(($G$7:$G$106&lt;&gt;"")*($G$7:$G$106&lt;=A203)),$H$7:$H$106),""))))</x:f>
      </x:c>
      <x:c r="D203" s="162" t="str">
        <x:f>IF(C203="","",C203-B203)</x:f>
      </x:c>
      <x:c r="E203" s="163" t="str">
        <x:f>IF(D203="","",IF(D203&gt;=0,"On / Ahead",IF(D203&gt;=-0.05,"Watch","Behind")))</x:f>
      </x:c>
      <x:c r="J203"/>
      <x:c r="K203"/>
      <x:c r="L203"/>
      <x:c r="M203" t="str">
        <x:f>IF(A203="","",TEXT(A203,"mmm d"))</x:f>
      </x:c>
      <x:c r="N203" s="14" t="e">
        <x:f>IF(B203="",NA(),B203)</x:f>
        <x:v>#N/A</x:v>
      </x:c>
      <x:c r="O203" s="14" t="e">
        <x:f>IF(OR(P203="",$B$2="",$F$2="",P203&lt;$B$2,P203&gt;$F$2),NA(),IF(Q203=0,IF($F$2=$B$2,$H$2,MAX(0,MIN(1,$H$2*(3*MAX(0,MIN(1,(P203-$B$2)/($F$2-$B$2)))^2-2*MAX(0,MIN(1,(P203-$B$2)/($F$2-$B$2)))^3)))),MAX(0,MIN(1,T203+(V203-T203)*(3*W203^2-2*W203^3)))))</x:f>
        <x:v>#N/A</x:v>
      </x:c>
      <x:c r="P203" s="189" t="str">
        <x:f>A203</x:f>
      </x:c>
      <x:c r="Q203" t="n">
        <x:f>COUNT($G$7:$G$106)</x:f>
        <x:v>0</x:v>
      </x:c>
      <x:c r="R203" t="str">
        <x:f>IF(OR(P203="",$B$2="",$F$2="",P203&lt;$B$2,P203&gt;$F$2),"",IF(Q203=0,0,IF(P203&lt;$G$7,0,IF(P203&gt;=INDEX($G$7:$G$106,Q203),Q203,MATCH(P203,$G$7:$G$106,1)))))</x:f>
      </x:c>
      <x:c r="S203" t="str">
        <x:f>IF(R203="","",IF(R203=0,$B$2,INDEX($G$7:$G$106,R203)))</x:f>
      </x:c>
      <x:c r="T203" s="14" t="str">
        <x:f>IF(R203="","",IF(R203=0,0,INDEX($H$7:$H$106,R203)))</x:f>
      </x:c>
      <x:c r="U203" t="str">
        <x:f>IF(R203="","",IF(Q203=0,$F$2,IF(R203=0,$G$7,IF(R203&lt;Q203,INDEX($G$7:$G$106,R203+1),$F$2))))</x:f>
      </x:c>
      <x:c r="V203" s="14" t="str">
        <x:f>IF(R203="","",IF(Q203=0,$H$2,IF(R203=0,$H$7,IF(R203&lt;Q203,INDEX($H$7:$H$106,R203+1),$H$2))))</x:f>
      </x:c>
      <x:c r="W203" s="188" t="str">
        <x:f>IF(R203="","",IF(U203=S203,1,MAX(0,MIN(1,(P203-S203)/(U203-S203)))))</x:f>
      </x:c>
    </x:row>
    <x:row r="204">
      <x:c r="A204" s="159" t="str">
        <x:f>IF(OR(A203="",A203&gt;=$D$2),"",A203+1)</x:f>
      </x:c>
      <x:c r="B204" s="162" t="str">
        <x:f>IF(A204="","",IFERROR(SUMPRODUCT(--('Project Plan'!$A$7:$A$206&lt;&gt;""),('Project Plan'!$P$7:$P$206+('Project Plan'!$P$7:$P$206="")),--('Project Plan'!$F$7:$F$206&lt;&gt;""),--('Project Plan'!$G$7:$G$206&lt;&gt;""),((A204&gt;='Project Plan'!$G$7:$G$206)+((A204&gt;='Project Plan'!$F$7:$F$206)*(A204&lt;'Project Plan'!$G$7:$G$206)*(A204-'Project Plan'!$F$7:$F$206+1)/('Project Plan'!$G$7:$G$206-'Project Plan'!$F$7:$F$206+1))))/SUMPRODUCT(--('Project Plan'!$A$7:$A$206&lt;&gt;""),('Project Plan'!$P$7:$P$206+('Project Plan'!$P$7:$P$206=""))),0))</x:f>
      </x:c>
      <x:c r="C204" s="162" t="str">
        <x:f>IF(A204="","",IF(A204&gt;$F$2,"",IF(A204=$F$2,$H$2,IFERROR(LOOKUP(2,1/(($G$7:$G$106&lt;&gt;"")*($G$7:$G$106&lt;=A204)),$H$7:$H$106),""))))</x:f>
      </x:c>
      <x:c r="D204" s="162" t="str">
        <x:f>IF(C204="","",C204-B204)</x:f>
      </x:c>
      <x:c r="E204" s="163" t="str">
        <x:f>IF(D204="","",IF(D204&gt;=0,"On / Ahead",IF(D204&gt;=-0.05,"Watch","Behind")))</x:f>
      </x:c>
      <x:c r="J204"/>
      <x:c r="K204"/>
      <x:c r="L204"/>
      <x:c r="M204" t="str">
        <x:f>IF(A204="","",TEXT(A204,"mmm d"))</x:f>
      </x:c>
      <x:c r="N204" s="14" t="e">
        <x:f>IF(B204="",NA(),B204)</x:f>
        <x:v>#N/A</x:v>
      </x:c>
      <x:c r="O204" s="14" t="e">
        <x:f>IF(OR(P204="",$B$2="",$F$2="",P204&lt;$B$2,P204&gt;$F$2),NA(),IF(Q204=0,IF($F$2=$B$2,$H$2,MAX(0,MIN(1,$H$2*(3*MAX(0,MIN(1,(P204-$B$2)/($F$2-$B$2)))^2-2*MAX(0,MIN(1,(P204-$B$2)/($F$2-$B$2)))^3)))),MAX(0,MIN(1,T204+(V204-T204)*(3*W204^2-2*W204^3)))))</x:f>
        <x:v>#N/A</x:v>
      </x:c>
      <x:c r="P204" s="189" t="str">
        <x:f>A204</x:f>
      </x:c>
      <x:c r="Q204" t="n">
        <x:f>COUNT($G$7:$G$106)</x:f>
        <x:v>0</x:v>
      </x:c>
      <x:c r="R204" t="str">
        <x:f>IF(OR(P204="",$B$2="",$F$2="",P204&lt;$B$2,P204&gt;$F$2),"",IF(Q204=0,0,IF(P204&lt;$G$7,0,IF(P204&gt;=INDEX($G$7:$G$106,Q204),Q204,MATCH(P204,$G$7:$G$106,1)))))</x:f>
      </x:c>
      <x:c r="S204" t="str">
        <x:f>IF(R204="","",IF(R204=0,$B$2,INDEX($G$7:$G$106,R204)))</x:f>
      </x:c>
      <x:c r="T204" s="14" t="str">
        <x:f>IF(R204="","",IF(R204=0,0,INDEX($H$7:$H$106,R204)))</x:f>
      </x:c>
      <x:c r="U204" t="str">
        <x:f>IF(R204="","",IF(Q204=0,$F$2,IF(R204=0,$G$7,IF(R204&lt;Q204,INDEX($G$7:$G$106,R204+1),$F$2))))</x:f>
      </x:c>
      <x:c r="V204" s="14" t="str">
        <x:f>IF(R204="","",IF(Q204=0,$H$2,IF(R204=0,$H$7,IF(R204&lt;Q204,INDEX($H$7:$H$106,R204+1),$H$2))))</x:f>
      </x:c>
      <x:c r="W204" s="188" t="str">
        <x:f>IF(R204="","",IF(U204=S204,1,MAX(0,MIN(1,(P204-S204)/(U204-S204)))))</x:f>
      </x:c>
    </x:row>
    <x:row r="205">
      <x:c r="A205" s="159" t="str">
        <x:f>IF(OR(A204="",A204&gt;=$D$2),"",A204+1)</x:f>
      </x:c>
      <x:c r="B205" s="162" t="str">
        <x:f>IF(A205="","",IFERROR(SUMPRODUCT(--('Project Plan'!$A$7:$A$206&lt;&gt;""),('Project Plan'!$P$7:$P$206+('Project Plan'!$P$7:$P$206="")),--('Project Plan'!$F$7:$F$206&lt;&gt;""),--('Project Plan'!$G$7:$G$206&lt;&gt;""),((A205&gt;='Project Plan'!$G$7:$G$206)+((A205&gt;='Project Plan'!$F$7:$F$206)*(A205&lt;'Project Plan'!$G$7:$G$206)*(A205-'Project Plan'!$F$7:$F$206+1)/('Project Plan'!$G$7:$G$206-'Project Plan'!$F$7:$F$206+1))))/SUMPRODUCT(--('Project Plan'!$A$7:$A$206&lt;&gt;""),('Project Plan'!$P$7:$P$206+('Project Plan'!$P$7:$P$206=""))),0))</x:f>
      </x:c>
      <x:c r="C205" s="162" t="str">
        <x:f>IF(A205="","",IF(A205&gt;$F$2,"",IF(A205=$F$2,$H$2,IFERROR(LOOKUP(2,1/(($G$7:$G$106&lt;&gt;"")*($G$7:$G$106&lt;=A205)),$H$7:$H$106),""))))</x:f>
      </x:c>
      <x:c r="D205" s="162" t="str">
        <x:f>IF(C205="","",C205-B205)</x:f>
      </x:c>
      <x:c r="E205" s="163" t="str">
        <x:f>IF(D205="","",IF(D205&gt;=0,"On / Ahead",IF(D205&gt;=-0.05,"Watch","Behind")))</x:f>
      </x:c>
      <x:c r="J205"/>
      <x:c r="K205"/>
      <x:c r="L205"/>
      <x:c r="M205" t="str">
        <x:f>IF(A205="","",TEXT(A205,"mmm d"))</x:f>
      </x:c>
      <x:c r="N205" s="14" t="e">
        <x:f>IF(B205="",NA(),B205)</x:f>
        <x:v>#N/A</x:v>
      </x:c>
      <x:c r="O205" s="14" t="e">
        <x:f>IF(OR(P205="",$B$2="",$F$2="",P205&lt;$B$2,P205&gt;$F$2),NA(),IF(Q205=0,IF($F$2=$B$2,$H$2,MAX(0,MIN(1,$H$2*(3*MAX(0,MIN(1,(P205-$B$2)/($F$2-$B$2)))^2-2*MAX(0,MIN(1,(P205-$B$2)/($F$2-$B$2)))^3)))),MAX(0,MIN(1,T205+(V205-T205)*(3*W205^2-2*W205^3)))))</x:f>
        <x:v>#N/A</x:v>
      </x:c>
      <x:c r="P205" s="189" t="str">
        <x:f>A205</x:f>
      </x:c>
      <x:c r="Q205" t="n">
        <x:f>COUNT($G$7:$G$106)</x:f>
        <x:v>0</x:v>
      </x:c>
      <x:c r="R205" t="str">
        <x:f>IF(OR(P205="",$B$2="",$F$2="",P205&lt;$B$2,P205&gt;$F$2),"",IF(Q205=0,0,IF(P205&lt;$G$7,0,IF(P205&gt;=INDEX($G$7:$G$106,Q205),Q205,MATCH(P205,$G$7:$G$106,1)))))</x:f>
      </x:c>
      <x:c r="S205" t="str">
        <x:f>IF(R205="","",IF(R205=0,$B$2,INDEX($G$7:$G$106,R205)))</x:f>
      </x:c>
      <x:c r="T205" s="14" t="str">
        <x:f>IF(R205="","",IF(R205=0,0,INDEX($H$7:$H$106,R205)))</x:f>
      </x:c>
      <x:c r="U205" t="str">
        <x:f>IF(R205="","",IF(Q205=0,$F$2,IF(R205=0,$G$7,IF(R205&lt;Q205,INDEX($G$7:$G$106,R205+1),$F$2))))</x:f>
      </x:c>
      <x:c r="V205" s="14" t="str">
        <x:f>IF(R205="","",IF(Q205=0,$H$2,IF(R205=0,$H$7,IF(R205&lt;Q205,INDEX($H$7:$H$106,R205+1),$H$2))))</x:f>
      </x:c>
      <x:c r="W205" s="188" t="str">
        <x:f>IF(R205="","",IF(U205=S205,1,MAX(0,MIN(1,(P205-S205)/(U205-S205)))))</x:f>
      </x:c>
    </x:row>
    <x:row r="206">
      <x:c r="A206" s="159" t="str">
        <x:f>IF(OR(A205="",A205&gt;=$D$2),"",A205+1)</x:f>
      </x:c>
      <x:c r="B206" s="162" t="str">
        <x:f>IF(A206="","",IFERROR(SUMPRODUCT(--('Project Plan'!$A$7:$A$206&lt;&gt;""),('Project Plan'!$P$7:$P$206+('Project Plan'!$P$7:$P$206="")),--('Project Plan'!$F$7:$F$206&lt;&gt;""),--('Project Plan'!$G$7:$G$206&lt;&gt;""),((A206&gt;='Project Plan'!$G$7:$G$206)+((A206&gt;='Project Plan'!$F$7:$F$206)*(A206&lt;'Project Plan'!$G$7:$G$206)*(A206-'Project Plan'!$F$7:$F$206+1)/('Project Plan'!$G$7:$G$206-'Project Plan'!$F$7:$F$206+1))))/SUMPRODUCT(--('Project Plan'!$A$7:$A$206&lt;&gt;""),('Project Plan'!$P$7:$P$206+('Project Plan'!$P$7:$P$206=""))),0))</x:f>
      </x:c>
      <x:c r="C206" s="162" t="str">
        <x:f>IF(A206="","",IF(A206&gt;$F$2,"",IF(A206=$F$2,$H$2,IFERROR(LOOKUP(2,1/(($G$7:$G$106&lt;&gt;"")*($G$7:$G$106&lt;=A206)),$H$7:$H$106),""))))</x:f>
      </x:c>
      <x:c r="D206" s="162" t="str">
        <x:f>IF(C206="","",C206-B206)</x:f>
      </x:c>
      <x:c r="E206" s="163" t="str">
        <x:f>IF(D206="","",IF(D206&gt;=0,"On / Ahead",IF(D206&gt;=-0.05,"Watch","Behind")))</x:f>
      </x:c>
      <x:c r="J206"/>
      <x:c r="K206"/>
      <x:c r="L206"/>
      <x:c r="M206" t="str">
        <x:f>IF(A206="","",TEXT(A206,"mmm d"))</x:f>
      </x:c>
      <x:c r="N206" s="14" t="e">
        <x:f>IF(B206="",NA(),B206)</x:f>
        <x:v>#N/A</x:v>
      </x:c>
      <x:c r="O206" s="14" t="e">
        <x:f>IF(OR(P206="",$B$2="",$F$2="",P206&lt;$B$2,P206&gt;$F$2),NA(),IF(Q206=0,IF($F$2=$B$2,$H$2,MAX(0,MIN(1,$H$2*(3*MAX(0,MIN(1,(P206-$B$2)/($F$2-$B$2)))^2-2*MAX(0,MIN(1,(P206-$B$2)/($F$2-$B$2)))^3)))),MAX(0,MIN(1,T206+(V206-T206)*(3*W206^2-2*W206^3)))))</x:f>
        <x:v>#N/A</x:v>
      </x:c>
      <x:c r="P206" s="189" t="str">
        <x:f>A206</x:f>
      </x:c>
      <x:c r="Q206" t="n">
        <x:f>COUNT($G$7:$G$106)</x:f>
        <x:v>0</x:v>
      </x:c>
      <x:c r="R206" t="str">
        <x:f>IF(OR(P206="",$B$2="",$F$2="",P206&lt;$B$2,P206&gt;$F$2),"",IF(Q206=0,0,IF(P206&lt;$G$7,0,IF(P206&gt;=INDEX($G$7:$G$106,Q206),Q206,MATCH(P206,$G$7:$G$106,1)))))</x:f>
      </x:c>
      <x:c r="S206" t="str">
        <x:f>IF(R206="","",IF(R206=0,$B$2,INDEX($G$7:$G$106,R206)))</x:f>
      </x:c>
      <x:c r="T206" s="14" t="str">
        <x:f>IF(R206="","",IF(R206=0,0,INDEX($H$7:$H$106,R206)))</x:f>
      </x:c>
      <x:c r="U206" t="str">
        <x:f>IF(R206="","",IF(Q206=0,$F$2,IF(R206=0,$G$7,IF(R206&lt;Q206,INDEX($G$7:$G$106,R206+1),$F$2))))</x:f>
      </x:c>
      <x:c r="V206" s="14" t="str">
        <x:f>IF(R206="","",IF(Q206=0,$H$2,IF(R206=0,$H$7,IF(R206&lt;Q206,INDEX($H$7:$H$106,R206+1),$H$2))))</x:f>
      </x:c>
      <x:c r="W206" s="188" t="str">
        <x:f>IF(R206="","",IF(U206=S206,1,MAX(0,MIN(1,(P206-S206)/(U206-S206)))))</x:f>
      </x:c>
    </x:row>
    <x:row r="207">
      <x:c r="A207" s="159" t="str">
        <x:f>IF(OR(A206="",A206&gt;=$D$2),"",A206+1)</x:f>
      </x:c>
      <x:c r="B207" s="162" t="str">
        <x:f>IF(A207="","",IFERROR(SUMPRODUCT(--('Project Plan'!$A$7:$A$206&lt;&gt;""),('Project Plan'!$P$7:$P$206+('Project Plan'!$P$7:$P$206="")),--('Project Plan'!$F$7:$F$206&lt;&gt;""),--('Project Plan'!$G$7:$G$206&lt;&gt;""),((A207&gt;='Project Plan'!$G$7:$G$206)+((A207&gt;='Project Plan'!$F$7:$F$206)*(A207&lt;'Project Plan'!$G$7:$G$206)*(A207-'Project Plan'!$F$7:$F$206+1)/('Project Plan'!$G$7:$G$206-'Project Plan'!$F$7:$F$206+1))))/SUMPRODUCT(--('Project Plan'!$A$7:$A$206&lt;&gt;""),('Project Plan'!$P$7:$P$206+('Project Plan'!$P$7:$P$206=""))),0))</x:f>
      </x:c>
      <x:c r="C207" s="162" t="str">
        <x:f>IF(A207="","",IF(A207&gt;$F$2,"",IF(A207=$F$2,$H$2,IFERROR(LOOKUP(2,1/(($G$7:$G$106&lt;&gt;"")*($G$7:$G$106&lt;=A207)),$H$7:$H$106),""))))</x:f>
      </x:c>
      <x:c r="D207" s="162" t="str">
        <x:f>IF(C207="","",C207-B207)</x:f>
      </x:c>
      <x:c r="E207" s="163" t="str">
        <x:f>IF(D207="","",IF(D207&gt;=0,"On / Ahead",IF(D207&gt;=-0.05,"Watch","Behind")))</x:f>
      </x:c>
      <x:c r="J207"/>
      <x:c r="K207"/>
      <x:c r="L207"/>
      <x:c r="M207" t="str">
        <x:f>IF(A207="","",TEXT(A207,"mmm d"))</x:f>
      </x:c>
      <x:c r="N207" s="14" t="e">
        <x:f>IF(B207="",NA(),B207)</x:f>
        <x:v>#N/A</x:v>
      </x:c>
      <x:c r="O207" s="14" t="e">
        <x:f>IF(OR(P207="",$B$2="",$F$2="",P207&lt;$B$2,P207&gt;$F$2),NA(),IF(Q207=0,IF($F$2=$B$2,$H$2,MAX(0,MIN(1,$H$2*(3*MAX(0,MIN(1,(P207-$B$2)/($F$2-$B$2)))^2-2*MAX(0,MIN(1,(P207-$B$2)/($F$2-$B$2)))^3)))),MAX(0,MIN(1,T207+(V207-T207)*(3*W207^2-2*W207^3)))))</x:f>
        <x:v>#N/A</x:v>
      </x:c>
      <x:c r="P207" s="189" t="str">
        <x:f>A207</x:f>
      </x:c>
      <x:c r="Q207" t="n">
        <x:f>COUNT($G$7:$G$106)</x:f>
        <x:v>0</x:v>
      </x:c>
      <x:c r="R207" t="str">
        <x:f>IF(OR(P207="",$B$2="",$F$2="",P207&lt;$B$2,P207&gt;$F$2),"",IF(Q207=0,0,IF(P207&lt;$G$7,0,IF(P207&gt;=INDEX($G$7:$G$106,Q207),Q207,MATCH(P207,$G$7:$G$106,1)))))</x:f>
      </x:c>
      <x:c r="S207" t="str">
        <x:f>IF(R207="","",IF(R207=0,$B$2,INDEX($G$7:$G$106,R207)))</x:f>
      </x:c>
      <x:c r="T207" s="14" t="str">
        <x:f>IF(R207="","",IF(R207=0,0,INDEX($H$7:$H$106,R207)))</x:f>
      </x:c>
      <x:c r="U207" t="str">
        <x:f>IF(R207="","",IF(Q207=0,$F$2,IF(R207=0,$G$7,IF(R207&lt;Q207,INDEX($G$7:$G$106,R207+1),$F$2))))</x:f>
      </x:c>
      <x:c r="V207" s="14" t="str">
        <x:f>IF(R207="","",IF(Q207=0,$H$2,IF(R207=0,$H$7,IF(R207&lt;Q207,INDEX($H$7:$H$106,R207+1),$H$2))))</x:f>
      </x:c>
      <x:c r="W207" s="188" t="str">
        <x:f>IF(R207="","",IF(U207=S207,1,MAX(0,MIN(1,(P207-S207)/(U207-S207)))))</x:f>
      </x:c>
    </x:row>
    <x:row r="208">
      <x:c r="A208" s="159" t="str">
        <x:f>IF(OR(A207="",A207&gt;=$D$2),"",A207+1)</x:f>
      </x:c>
      <x:c r="B208" s="162" t="str">
        <x:f>IF(A208="","",IFERROR(SUMPRODUCT(--('Project Plan'!$A$7:$A$206&lt;&gt;""),('Project Plan'!$P$7:$P$206+('Project Plan'!$P$7:$P$206="")),--('Project Plan'!$F$7:$F$206&lt;&gt;""),--('Project Plan'!$G$7:$G$206&lt;&gt;""),((A208&gt;='Project Plan'!$G$7:$G$206)+((A208&gt;='Project Plan'!$F$7:$F$206)*(A208&lt;'Project Plan'!$G$7:$G$206)*(A208-'Project Plan'!$F$7:$F$206+1)/('Project Plan'!$G$7:$G$206-'Project Plan'!$F$7:$F$206+1))))/SUMPRODUCT(--('Project Plan'!$A$7:$A$206&lt;&gt;""),('Project Plan'!$P$7:$P$206+('Project Plan'!$P$7:$P$206=""))),0))</x:f>
      </x:c>
      <x:c r="C208" s="162" t="str">
        <x:f>IF(A208="","",IF(A208&gt;$F$2,"",IF(A208=$F$2,$H$2,IFERROR(LOOKUP(2,1/(($G$7:$G$106&lt;&gt;"")*($G$7:$G$106&lt;=A208)),$H$7:$H$106),""))))</x:f>
      </x:c>
      <x:c r="D208" s="162" t="str">
        <x:f>IF(C208="","",C208-B208)</x:f>
      </x:c>
      <x:c r="E208" s="163" t="str">
        <x:f>IF(D208="","",IF(D208&gt;=0,"On / Ahead",IF(D208&gt;=-0.05,"Watch","Behind")))</x:f>
      </x:c>
      <x:c r="J208"/>
      <x:c r="K208"/>
      <x:c r="L208"/>
      <x:c r="M208" t="str">
        <x:f>IF(A208="","",TEXT(A208,"mmm d"))</x:f>
      </x:c>
      <x:c r="N208" s="14" t="e">
        <x:f>IF(B208="",NA(),B208)</x:f>
        <x:v>#N/A</x:v>
      </x:c>
      <x:c r="O208" s="14" t="e">
        <x:f>IF(OR(P208="",$B$2="",$F$2="",P208&lt;$B$2,P208&gt;$F$2),NA(),IF(Q208=0,IF($F$2=$B$2,$H$2,MAX(0,MIN(1,$H$2*(3*MAX(0,MIN(1,(P208-$B$2)/($F$2-$B$2)))^2-2*MAX(0,MIN(1,(P208-$B$2)/($F$2-$B$2)))^3)))),MAX(0,MIN(1,T208+(V208-T208)*(3*W208^2-2*W208^3)))))</x:f>
        <x:v>#N/A</x:v>
      </x:c>
      <x:c r="P208" s="189" t="str">
        <x:f>A208</x:f>
      </x:c>
      <x:c r="Q208" t="n">
        <x:f>COUNT($G$7:$G$106)</x:f>
        <x:v>0</x:v>
      </x:c>
      <x:c r="R208" t="str">
        <x:f>IF(OR(P208="",$B$2="",$F$2="",P208&lt;$B$2,P208&gt;$F$2),"",IF(Q208=0,0,IF(P208&lt;$G$7,0,IF(P208&gt;=INDEX($G$7:$G$106,Q208),Q208,MATCH(P208,$G$7:$G$106,1)))))</x:f>
      </x:c>
      <x:c r="S208" t="str">
        <x:f>IF(R208="","",IF(R208=0,$B$2,INDEX($G$7:$G$106,R208)))</x:f>
      </x:c>
      <x:c r="T208" s="14" t="str">
        <x:f>IF(R208="","",IF(R208=0,0,INDEX($H$7:$H$106,R208)))</x:f>
      </x:c>
      <x:c r="U208" t="str">
        <x:f>IF(R208="","",IF(Q208=0,$F$2,IF(R208=0,$G$7,IF(R208&lt;Q208,INDEX($G$7:$G$106,R208+1),$F$2))))</x:f>
      </x:c>
      <x:c r="V208" s="14" t="str">
        <x:f>IF(R208="","",IF(Q208=0,$H$2,IF(R208=0,$H$7,IF(R208&lt;Q208,INDEX($H$7:$H$106,R208+1),$H$2))))</x:f>
      </x:c>
      <x:c r="W208" s="188" t="str">
        <x:f>IF(R208="","",IF(U208=S208,1,MAX(0,MIN(1,(P208-S208)/(U208-S208)))))</x:f>
      </x:c>
    </x:row>
    <x:row r="209">
      <x:c r="A209" s="159" t="str">
        <x:f>IF(OR(A208="",A208&gt;=$D$2),"",A208+1)</x:f>
      </x:c>
      <x:c r="B209" s="162" t="str">
        <x:f>IF(A209="","",IFERROR(SUMPRODUCT(--('Project Plan'!$A$7:$A$206&lt;&gt;""),('Project Plan'!$P$7:$P$206+('Project Plan'!$P$7:$P$206="")),--('Project Plan'!$F$7:$F$206&lt;&gt;""),--('Project Plan'!$G$7:$G$206&lt;&gt;""),((A209&gt;='Project Plan'!$G$7:$G$206)+((A209&gt;='Project Plan'!$F$7:$F$206)*(A209&lt;'Project Plan'!$G$7:$G$206)*(A209-'Project Plan'!$F$7:$F$206+1)/('Project Plan'!$G$7:$G$206-'Project Plan'!$F$7:$F$206+1))))/SUMPRODUCT(--('Project Plan'!$A$7:$A$206&lt;&gt;""),('Project Plan'!$P$7:$P$206+('Project Plan'!$P$7:$P$206=""))),0))</x:f>
      </x:c>
      <x:c r="C209" s="162" t="str">
        <x:f>IF(A209="","",IF(A209&gt;$F$2,"",IF(A209=$F$2,$H$2,IFERROR(LOOKUP(2,1/(($G$7:$G$106&lt;&gt;"")*($G$7:$G$106&lt;=A209)),$H$7:$H$106),""))))</x:f>
      </x:c>
      <x:c r="D209" s="162" t="str">
        <x:f>IF(C209="","",C209-B209)</x:f>
      </x:c>
      <x:c r="E209" s="163" t="str">
        <x:f>IF(D209="","",IF(D209&gt;=0,"On / Ahead",IF(D209&gt;=-0.05,"Watch","Behind")))</x:f>
      </x:c>
      <x:c r="J209"/>
      <x:c r="K209"/>
      <x:c r="L209"/>
      <x:c r="M209" t="str">
        <x:f>IF(A209="","",TEXT(A209,"mmm d"))</x:f>
      </x:c>
      <x:c r="N209" s="14" t="e">
        <x:f>IF(B209="",NA(),B209)</x:f>
        <x:v>#N/A</x:v>
      </x:c>
      <x:c r="O209" s="14" t="e">
        <x:f>IF(OR(P209="",$B$2="",$F$2="",P209&lt;$B$2,P209&gt;$F$2),NA(),IF(Q209=0,IF($F$2=$B$2,$H$2,MAX(0,MIN(1,$H$2*(3*MAX(0,MIN(1,(P209-$B$2)/($F$2-$B$2)))^2-2*MAX(0,MIN(1,(P209-$B$2)/($F$2-$B$2)))^3)))),MAX(0,MIN(1,T209+(V209-T209)*(3*W209^2-2*W209^3)))))</x:f>
        <x:v>#N/A</x:v>
      </x:c>
      <x:c r="P209" s="189" t="str">
        <x:f>A209</x:f>
      </x:c>
      <x:c r="Q209" t="n">
        <x:f>COUNT($G$7:$G$106)</x:f>
        <x:v>0</x:v>
      </x:c>
      <x:c r="R209" t="str">
        <x:f>IF(OR(P209="",$B$2="",$F$2="",P209&lt;$B$2,P209&gt;$F$2),"",IF(Q209=0,0,IF(P209&lt;$G$7,0,IF(P209&gt;=INDEX($G$7:$G$106,Q209),Q209,MATCH(P209,$G$7:$G$106,1)))))</x:f>
      </x:c>
      <x:c r="S209" t="str">
        <x:f>IF(R209="","",IF(R209=0,$B$2,INDEX($G$7:$G$106,R209)))</x:f>
      </x:c>
      <x:c r="T209" s="14" t="str">
        <x:f>IF(R209="","",IF(R209=0,0,INDEX($H$7:$H$106,R209)))</x:f>
      </x:c>
      <x:c r="U209" t="str">
        <x:f>IF(R209="","",IF(Q209=0,$F$2,IF(R209=0,$G$7,IF(R209&lt;Q209,INDEX($G$7:$G$106,R209+1),$F$2))))</x:f>
      </x:c>
      <x:c r="V209" s="14" t="str">
        <x:f>IF(R209="","",IF(Q209=0,$H$2,IF(R209=0,$H$7,IF(R209&lt;Q209,INDEX($H$7:$H$106,R209+1),$H$2))))</x:f>
      </x:c>
      <x:c r="W209" s="188" t="str">
        <x:f>IF(R209="","",IF(U209=S209,1,MAX(0,MIN(1,(P209-S209)/(U209-S209)))))</x:f>
      </x:c>
    </x:row>
    <x:row r="210">
      <x:c r="A210" s="159" t="str">
        <x:f>IF(OR(A209="",A209&gt;=$D$2),"",A209+1)</x:f>
      </x:c>
      <x:c r="B210" s="162" t="str">
        <x:f>IF(A210="","",IFERROR(SUMPRODUCT(--('Project Plan'!$A$7:$A$206&lt;&gt;""),('Project Plan'!$P$7:$P$206+('Project Plan'!$P$7:$P$206="")),--('Project Plan'!$F$7:$F$206&lt;&gt;""),--('Project Plan'!$G$7:$G$206&lt;&gt;""),((A210&gt;='Project Plan'!$G$7:$G$206)+((A210&gt;='Project Plan'!$F$7:$F$206)*(A210&lt;'Project Plan'!$G$7:$G$206)*(A210-'Project Plan'!$F$7:$F$206+1)/('Project Plan'!$G$7:$G$206-'Project Plan'!$F$7:$F$206+1))))/SUMPRODUCT(--('Project Plan'!$A$7:$A$206&lt;&gt;""),('Project Plan'!$P$7:$P$206+('Project Plan'!$P$7:$P$206=""))),0))</x:f>
      </x:c>
      <x:c r="C210" s="162" t="str">
        <x:f>IF(A210="","",IF(A210&gt;$F$2,"",IF(A210=$F$2,$H$2,IFERROR(LOOKUP(2,1/(($G$7:$G$106&lt;&gt;"")*($G$7:$G$106&lt;=A210)),$H$7:$H$106),""))))</x:f>
      </x:c>
      <x:c r="D210" s="162" t="str">
        <x:f>IF(C210="","",C210-B210)</x:f>
      </x:c>
      <x:c r="E210" s="163" t="str">
        <x:f>IF(D210="","",IF(D210&gt;=0,"On / Ahead",IF(D210&gt;=-0.05,"Watch","Behind")))</x:f>
      </x:c>
      <x:c r="J210"/>
      <x:c r="K210"/>
      <x:c r="L210"/>
      <x:c r="M210" t="str">
        <x:f>IF(A210="","",TEXT(A210,"mmm d"))</x:f>
      </x:c>
      <x:c r="N210" s="14" t="e">
        <x:f>IF(B210="",NA(),B210)</x:f>
        <x:v>#N/A</x:v>
      </x:c>
      <x:c r="O210" s="14" t="e">
        <x:f>IF(OR(P210="",$B$2="",$F$2="",P210&lt;$B$2,P210&gt;$F$2),NA(),IF(Q210=0,IF($F$2=$B$2,$H$2,MAX(0,MIN(1,$H$2*(3*MAX(0,MIN(1,(P210-$B$2)/($F$2-$B$2)))^2-2*MAX(0,MIN(1,(P210-$B$2)/($F$2-$B$2)))^3)))),MAX(0,MIN(1,T210+(V210-T210)*(3*W210^2-2*W210^3)))))</x:f>
        <x:v>#N/A</x:v>
      </x:c>
      <x:c r="P210" s="189" t="str">
        <x:f>A210</x:f>
      </x:c>
      <x:c r="Q210" t="n">
        <x:f>COUNT($G$7:$G$106)</x:f>
        <x:v>0</x:v>
      </x:c>
      <x:c r="R210" t="str">
        <x:f>IF(OR(P210="",$B$2="",$F$2="",P210&lt;$B$2,P210&gt;$F$2),"",IF(Q210=0,0,IF(P210&lt;$G$7,0,IF(P210&gt;=INDEX($G$7:$G$106,Q210),Q210,MATCH(P210,$G$7:$G$106,1)))))</x:f>
      </x:c>
      <x:c r="S210" t="str">
        <x:f>IF(R210="","",IF(R210=0,$B$2,INDEX($G$7:$G$106,R210)))</x:f>
      </x:c>
      <x:c r="T210" s="14" t="str">
        <x:f>IF(R210="","",IF(R210=0,0,INDEX($H$7:$H$106,R210)))</x:f>
      </x:c>
      <x:c r="U210" t="str">
        <x:f>IF(R210="","",IF(Q210=0,$F$2,IF(R210=0,$G$7,IF(R210&lt;Q210,INDEX($G$7:$G$106,R210+1),$F$2))))</x:f>
      </x:c>
      <x:c r="V210" s="14" t="str">
        <x:f>IF(R210="","",IF(Q210=0,$H$2,IF(R210=0,$H$7,IF(R210&lt;Q210,INDEX($H$7:$H$106,R210+1),$H$2))))</x:f>
      </x:c>
      <x:c r="W210" s="188" t="str">
        <x:f>IF(R210="","",IF(U210=S210,1,MAX(0,MIN(1,(P210-S210)/(U210-S210)))))</x:f>
      </x:c>
    </x:row>
    <x:row r="211">
      <x:c r="A211" s="159" t="str">
        <x:f>IF(OR(A210="",A210&gt;=$D$2),"",A210+1)</x:f>
      </x:c>
      <x:c r="B211" s="162" t="str">
        <x:f>IF(A211="","",IFERROR(SUMPRODUCT(--('Project Plan'!$A$7:$A$206&lt;&gt;""),('Project Plan'!$P$7:$P$206+('Project Plan'!$P$7:$P$206="")),--('Project Plan'!$F$7:$F$206&lt;&gt;""),--('Project Plan'!$G$7:$G$206&lt;&gt;""),((A211&gt;='Project Plan'!$G$7:$G$206)+((A211&gt;='Project Plan'!$F$7:$F$206)*(A211&lt;'Project Plan'!$G$7:$G$206)*(A211-'Project Plan'!$F$7:$F$206+1)/('Project Plan'!$G$7:$G$206-'Project Plan'!$F$7:$F$206+1))))/SUMPRODUCT(--('Project Plan'!$A$7:$A$206&lt;&gt;""),('Project Plan'!$P$7:$P$206+('Project Plan'!$P$7:$P$206=""))),0))</x:f>
      </x:c>
      <x:c r="C211" s="162" t="str">
        <x:f>IF(A211="","",IF(A211&gt;$F$2,"",IF(A211=$F$2,$H$2,IFERROR(LOOKUP(2,1/(($G$7:$G$106&lt;&gt;"")*($G$7:$G$106&lt;=A211)),$H$7:$H$106),""))))</x:f>
      </x:c>
      <x:c r="D211" s="162" t="str">
        <x:f>IF(C211="","",C211-B211)</x:f>
      </x:c>
      <x:c r="E211" s="163" t="str">
        <x:f>IF(D211="","",IF(D211&gt;=0,"On / Ahead",IF(D211&gt;=-0.05,"Watch","Behind")))</x:f>
      </x:c>
      <x:c r="J211"/>
      <x:c r="K211"/>
      <x:c r="L211"/>
      <x:c r="M211" t="str">
        <x:f>IF(A211="","",TEXT(A211,"mmm d"))</x:f>
      </x:c>
      <x:c r="N211" s="14" t="e">
        <x:f>IF(B211="",NA(),B211)</x:f>
        <x:v>#N/A</x:v>
      </x:c>
      <x:c r="O211" s="14" t="e">
        <x:f>IF(OR(P211="",$B$2="",$F$2="",P211&lt;$B$2,P211&gt;$F$2),NA(),IF(Q211=0,IF($F$2=$B$2,$H$2,MAX(0,MIN(1,$H$2*(3*MAX(0,MIN(1,(P211-$B$2)/($F$2-$B$2)))^2-2*MAX(0,MIN(1,(P211-$B$2)/($F$2-$B$2)))^3)))),MAX(0,MIN(1,T211+(V211-T211)*(3*W211^2-2*W211^3)))))</x:f>
        <x:v>#N/A</x:v>
      </x:c>
      <x:c r="P211" s="189" t="str">
        <x:f>A211</x:f>
      </x:c>
      <x:c r="Q211" t="n">
        <x:f>COUNT($G$7:$G$106)</x:f>
        <x:v>0</x:v>
      </x:c>
      <x:c r="R211" t="str">
        <x:f>IF(OR(P211="",$B$2="",$F$2="",P211&lt;$B$2,P211&gt;$F$2),"",IF(Q211=0,0,IF(P211&lt;$G$7,0,IF(P211&gt;=INDEX($G$7:$G$106,Q211),Q211,MATCH(P211,$G$7:$G$106,1)))))</x:f>
      </x:c>
      <x:c r="S211" t="str">
        <x:f>IF(R211="","",IF(R211=0,$B$2,INDEX($G$7:$G$106,R211)))</x:f>
      </x:c>
      <x:c r="T211" s="14" t="str">
        <x:f>IF(R211="","",IF(R211=0,0,INDEX($H$7:$H$106,R211)))</x:f>
      </x:c>
      <x:c r="U211" t="str">
        <x:f>IF(R211="","",IF(Q211=0,$F$2,IF(R211=0,$G$7,IF(R211&lt;Q211,INDEX($G$7:$G$106,R211+1),$F$2))))</x:f>
      </x:c>
      <x:c r="V211" s="14" t="str">
        <x:f>IF(R211="","",IF(Q211=0,$H$2,IF(R211=0,$H$7,IF(R211&lt;Q211,INDEX($H$7:$H$106,R211+1),$H$2))))</x:f>
      </x:c>
      <x:c r="W211" s="188" t="str">
        <x:f>IF(R211="","",IF(U211=S211,1,MAX(0,MIN(1,(P211-S211)/(U211-S211)))))</x:f>
      </x:c>
    </x:row>
    <x:row r="212">
      <x:c r="A212" s="159" t="str">
        <x:f>IF(OR(A211="",A211&gt;=$D$2),"",A211+1)</x:f>
      </x:c>
      <x:c r="B212" s="162" t="str">
        <x:f>IF(A212="","",IFERROR(SUMPRODUCT(--('Project Plan'!$A$7:$A$206&lt;&gt;""),('Project Plan'!$P$7:$P$206+('Project Plan'!$P$7:$P$206="")),--('Project Plan'!$F$7:$F$206&lt;&gt;""),--('Project Plan'!$G$7:$G$206&lt;&gt;""),((A212&gt;='Project Plan'!$G$7:$G$206)+((A212&gt;='Project Plan'!$F$7:$F$206)*(A212&lt;'Project Plan'!$G$7:$G$206)*(A212-'Project Plan'!$F$7:$F$206+1)/('Project Plan'!$G$7:$G$206-'Project Plan'!$F$7:$F$206+1))))/SUMPRODUCT(--('Project Plan'!$A$7:$A$206&lt;&gt;""),('Project Plan'!$P$7:$P$206+('Project Plan'!$P$7:$P$206=""))),0))</x:f>
      </x:c>
      <x:c r="C212" s="162" t="str">
        <x:f>IF(A212="","",IF(A212&gt;$F$2,"",IF(A212=$F$2,$H$2,IFERROR(LOOKUP(2,1/(($G$7:$G$106&lt;&gt;"")*($G$7:$G$106&lt;=A212)),$H$7:$H$106),""))))</x:f>
      </x:c>
      <x:c r="D212" s="162" t="str">
        <x:f>IF(C212="","",C212-B212)</x:f>
      </x:c>
      <x:c r="E212" s="163" t="str">
        <x:f>IF(D212="","",IF(D212&gt;=0,"On / Ahead",IF(D212&gt;=-0.05,"Watch","Behind")))</x:f>
      </x:c>
      <x:c r="J212"/>
      <x:c r="K212"/>
      <x:c r="L212"/>
      <x:c r="M212" t="str">
        <x:f>IF(A212="","",TEXT(A212,"mmm d"))</x:f>
      </x:c>
      <x:c r="N212" s="14" t="e">
        <x:f>IF(B212="",NA(),B212)</x:f>
        <x:v>#N/A</x:v>
      </x:c>
      <x:c r="O212" s="14" t="e">
        <x:f>IF(OR(P212="",$B$2="",$F$2="",P212&lt;$B$2,P212&gt;$F$2),NA(),IF(Q212=0,IF($F$2=$B$2,$H$2,MAX(0,MIN(1,$H$2*(3*MAX(0,MIN(1,(P212-$B$2)/($F$2-$B$2)))^2-2*MAX(0,MIN(1,(P212-$B$2)/($F$2-$B$2)))^3)))),MAX(0,MIN(1,T212+(V212-T212)*(3*W212^2-2*W212^3)))))</x:f>
        <x:v>#N/A</x:v>
      </x:c>
      <x:c r="P212" s="189" t="str">
        <x:f>A212</x:f>
      </x:c>
      <x:c r="Q212" t="n">
        <x:f>COUNT($G$7:$G$106)</x:f>
        <x:v>0</x:v>
      </x:c>
      <x:c r="R212" t="str">
        <x:f>IF(OR(P212="",$B$2="",$F$2="",P212&lt;$B$2,P212&gt;$F$2),"",IF(Q212=0,0,IF(P212&lt;$G$7,0,IF(P212&gt;=INDEX($G$7:$G$106,Q212),Q212,MATCH(P212,$G$7:$G$106,1)))))</x:f>
      </x:c>
      <x:c r="S212" t="str">
        <x:f>IF(R212="","",IF(R212=0,$B$2,INDEX($G$7:$G$106,R212)))</x:f>
      </x:c>
      <x:c r="T212" s="14" t="str">
        <x:f>IF(R212="","",IF(R212=0,0,INDEX($H$7:$H$106,R212)))</x:f>
      </x:c>
      <x:c r="U212" t="str">
        <x:f>IF(R212="","",IF(Q212=0,$F$2,IF(R212=0,$G$7,IF(R212&lt;Q212,INDEX($G$7:$G$106,R212+1),$F$2))))</x:f>
      </x:c>
      <x:c r="V212" s="14" t="str">
        <x:f>IF(R212="","",IF(Q212=0,$H$2,IF(R212=0,$H$7,IF(R212&lt;Q212,INDEX($H$7:$H$106,R212+1),$H$2))))</x:f>
      </x:c>
      <x:c r="W212" s="188" t="str">
        <x:f>IF(R212="","",IF(U212=S212,1,MAX(0,MIN(1,(P212-S212)/(U212-S212)))))</x:f>
      </x:c>
    </x:row>
    <x:row r="213">
      <x:c r="A213" s="159" t="str">
        <x:f>IF(OR(A212="",A212&gt;=$D$2),"",A212+1)</x:f>
      </x:c>
      <x:c r="B213" s="162" t="str">
        <x:f>IF(A213="","",IFERROR(SUMPRODUCT(--('Project Plan'!$A$7:$A$206&lt;&gt;""),('Project Plan'!$P$7:$P$206+('Project Plan'!$P$7:$P$206="")),--('Project Plan'!$F$7:$F$206&lt;&gt;""),--('Project Plan'!$G$7:$G$206&lt;&gt;""),((A213&gt;='Project Plan'!$G$7:$G$206)+((A213&gt;='Project Plan'!$F$7:$F$206)*(A213&lt;'Project Plan'!$G$7:$G$206)*(A213-'Project Plan'!$F$7:$F$206+1)/('Project Plan'!$G$7:$G$206-'Project Plan'!$F$7:$F$206+1))))/SUMPRODUCT(--('Project Plan'!$A$7:$A$206&lt;&gt;""),('Project Plan'!$P$7:$P$206+('Project Plan'!$P$7:$P$206=""))),0))</x:f>
      </x:c>
      <x:c r="C213" s="162" t="str">
        <x:f>IF(A213="","",IF(A213&gt;$F$2,"",IF(A213=$F$2,$H$2,IFERROR(LOOKUP(2,1/(($G$7:$G$106&lt;&gt;"")*($G$7:$G$106&lt;=A213)),$H$7:$H$106),""))))</x:f>
      </x:c>
      <x:c r="D213" s="162" t="str">
        <x:f>IF(C213="","",C213-B213)</x:f>
      </x:c>
      <x:c r="E213" s="163" t="str">
        <x:f>IF(D213="","",IF(D213&gt;=0,"On / Ahead",IF(D213&gt;=-0.05,"Watch","Behind")))</x:f>
      </x:c>
      <x:c r="J213"/>
      <x:c r="K213"/>
      <x:c r="L213"/>
      <x:c r="M213" t="str">
        <x:f>IF(A213="","",TEXT(A213,"mmm d"))</x:f>
      </x:c>
      <x:c r="N213" s="14" t="e">
        <x:f>IF(B213="",NA(),B213)</x:f>
        <x:v>#N/A</x:v>
      </x:c>
      <x:c r="O213" s="14" t="e">
        <x:f>IF(OR(P213="",$B$2="",$F$2="",P213&lt;$B$2,P213&gt;$F$2),NA(),IF(Q213=0,IF($F$2=$B$2,$H$2,MAX(0,MIN(1,$H$2*(3*MAX(0,MIN(1,(P213-$B$2)/($F$2-$B$2)))^2-2*MAX(0,MIN(1,(P213-$B$2)/($F$2-$B$2)))^3)))),MAX(0,MIN(1,T213+(V213-T213)*(3*W213^2-2*W213^3)))))</x:f>
        <x:v>#N/A</x:v>
      </x:c>
      <x:c r="P213" s="189" t="str">
        <x:f>A213</x:f>
      </x:c>
      <x:c r="Q213" t="n">
        <x:f>COUNT($G$7:$G$106)</x:f>
        <x:v>0</x:v>
      </x:c>
      <x:c r="R213" t="str">
        <x:f>IF(OR(P213="",$B$2="",$F$2="",P213&lt;$B$2,P213&gt;$F$2),"",IF(Q213=0,0,IF(P213&lt;$G$7,0,IF(P213&gt;=INDEX($G$7:$G$106,Q213),Q213,MATCH(P213,$G$7:$G$106,1)))))</x:f>
      </x:c>
      <x:c r="S213" t="str">
        <x:f>IF(R213="","",IF(R213=0,$B$2,INDEX($G$7:$G$106,R213)))</x:f>
      </x:c>
      <x:c r="T213" s="14" t="str">
        <x:f>IF(R213="","",IF(R213=0,0,INDEX($H$7:$H$106,R213)))</x:f>
      </x:c>
      <x:c r="U213" t="str">
        <x:f>IF(R213="","",IF(Q213=0,$F$2,IF(R213=0,$G$7,IF(R213&lt;Q213,INDEX($G$7:$G$106,R213+1),$F$2))))</x:f>
      </x:c>
      <x:c r="V213" s="14" t="str">
        <x:f>IF(R213="","",IF(Q213=0,$H$2,IF(R213=0,$H$7,IF(R213&lt;Q213,INDEX($H$7:$H$106,R213+1),$H$2))))</x:f>
      </x:c>
      <x:c r="W213" s="188" t="str">
        <x:f>IF(R213="","",IF(U213=S213,1,MAX(0,MIN(1,(P213-S213)/(U213-S213)))))</x:f>
      </x:c>
    </x:row>
    <x:row r="214">
      <x:c r="A214" s="159" t="str">
        <x:f>IF(OR(A213="",A213&gt;=$D$2),"",A213+1)</x:f>
      </x:c>
      <x:c r="B214" s="162" t="str">
        <x:f>IF(A214="","",IFERROR(SUMPRODUCT(--('Project Plan'!$A$7:$A$206&lt;&gt;""),('Project Plan'!$P$7:$P$206+('Project Plan'!$P$7:$P$206="")),--('Project Plan'!$F$7:$F$206&lt;&gt;""),--('Project Plan'!$G$7:$G$206&lt;&gt;""),((A214&gt;='Project Plan'!$G$7:$G$206)+((A214&gt;='Project Plan'!$F$7:$F$206)*(A214&lt;'Project Plan'!$G$7:$G$206)*(A214-'Project Plan'!$F$7:$F$206+1)/('Project Plan'!$G$7:$G$206-'Project Plan'!$F$7:$F$206+1))))/SUMPRODUCT(--('Project Plan'!$A$7:$A$206&lt;&gt;""),('Project Plan'!$P$7:$P$206+('Project Plan'!$P$7:$P$206=""))),0))</x:f>
      </x:c>
      <x:c r="C214" s="162" t="str">
        <x:f>IF(A214="","",IF(A214&gt;$F$2,"",IF(A214=$F$2,$H$2,IFERROR(LOOKUP(2,1/(($G$7:$G$106&lt;&gt;"")*($G$7:$G$106&lt;=A214)),$H$7:$H$106),""))))</x:f>
      </x:c>
      <x:c r="D214" s="162" t="str">
        <x:f>IF(C214="","",C214-B214)</x:f>
      </x:c>
      <x:c r="E214" s="163" t="str">
        <x:f>IF(D214="","",IF(D214&gt;=0,"On / Ahead",IF(D214&gt;=-0.05,"Watch","Behind")))</x:f>
      </x:c>
      <x:c r="J214"/>
      <x:c r="K214"/>
      <x:c r="L214"/>
      <x:c r="M214" t="str">
        <x:f>IF(A214="","",TEXT(A214,"mmm d"))</x:f>
      </x:c>
      <x:c r="N214" s="14" t="e">
        <x:f>IF(B214="",NA(),B214)</x:f>
        <x:v>#N/A</x:v>
      </x:c>
      <x:c r="O214" s="14" t="e">
        <x:f>IF(OR(P214="",$B$2="",$F$2="",P214&lt;$B$2,P214&gt;$F$2),NA(),IF(Q214=0,IF($F$2=$B$2,$H$2,MAX(0,MIN(1,$H$2*(3*MAX(0,MIN(1,(P214-$B$2)/($F$2-$B$2)))^2-2*MAX(0,MIN(1,(P214-$B$2)/($F$2-$B$2)))^3)))),MAX(0,MIN(1,T214+(V214-T214)*(3*W214^2-2*W214^3)))))</x:f>
        <x:v>#N/A</x:v>
      </x:c>
      <x:c r="P214" s="189" t="str">
        <x:f>A214</x:f>
      </x:c>
      <x:c r="Q214" t="n">
        <x:f>COUNT($G$7:$G$106)</x:f>
        <x:v>0</x:v>
      </x:c>
      <x:c r="R214" t="str">
        <x:f>IF(OR(P214="",$B$2="",$F$2="",P214&lt;$B$2,P214&gt;$F$2),"",IF(Q214=0,0,IF(P214&lt;$G$7,0,IF(P214&gt;=INDEX($G$7:$G$106,Q214),Q214,MATCH(P214,$G$7:$G$106,1)))))</x:f>
      </x:c>
      <x:c r="S214" t="str">
        <x:f>IF(R214="","",IF(R214=0,$B$2,INDEX($G$7:$G$106,R214)))</x:f>
      </x:c>
      <x:c r="T214" s="14" t="str">
        <x:f>IF(R214="","",IF(R214=0,0,INDEX($H$7:$H$106,R214)))</x:f>
      </x:c>
      <x:c r="U214" t="str">
        <x:f>IF(R214="","",IF(Q214=0,$F$2,IF(R214=0,$G$7,IF(R214&lt;Q214,INDEX($G$7:$G$106,R214+1),$F$2))))</x:f>
      </x:c>
      <x:c r="V214" s="14" t="str">
        <x:f>IF(R214="","",IF(Q214=0,$H$2,IF(R214=0,$H$7,IF(R214&lt;Q214,INDEX($H$7:$H$106,R214+1),$H$2))))</x:f>
      </x:c>
      <x:c r="W214" s="188" t="str">
        <x:f>IF(R214="","",IF(U214=S214,1,MAX(0,MIN(1,(P214-S214)/(U214-S214)))))</x:f>
      </x:c>
    </x:row>
    <x:row r="215">
      <x:c r="A215" s="159" t="str">
        <x:f>IF(OR(A214="",A214&gt;=$D$2),"",A214+1)</x:f>
      </x:c>
      <x:c r="B215" s="162" t="str">
        <x:f>IF(A215="","",IFERROR(SUMPRODUCT(--('Project Plan'!$A$7:$A$206&lt;&gt;""),('Project Plan'!$P$7:$P$206+('Project Plan'!$P$7:$P$206="")),--('Project Plan'!$F$7:$F$206&lt;&gt;""),--('Project Plan'!$G$7:$G$206&lt;&gt;""),((A215&gt;='Project Plan'!$G$7:$G$206)+((A215&gt;='Project Plan'!$F$7:$F$206)*(A215&lt;'Project Plan'!$G$7:$G$206)*(A215-'Project Plan'!$F$7:$F$206+1)/('Project Plan'!$G$7:$G$206-'Project Plan'!$F$7:$F$206+1))))/SUMPRODUCT(--('Project Plan'!$A$7:$A$206&lt;&gt;""),('Project Plan'!$P$7:$P$206+('Project Plan'!$P$7:$P$206=""))),0))</x:f>
      </x:c>
      <x:c r="C215" s="162" t="str">
        <x:f>IF(A215="","",IF(A215&gt;$F$2,"",IF(A215=$F$2,$H$2,IFERROR(LOOKUP(2,1/(($G$7:$G$106&lt;&gt;"")*($G$7:$G$106&lt;=A215)),$H$7:$H$106),""))))</x:f>
      </x:c>
      <x:c r="D215" s="162" t="str">
        <x:f>IF(C215="","",C215-B215)</x:f>
      </x:c>
      <x:c r="E215" s="163" t="str">
        <x:f>IF(D215="","",IF(D215&gt;=0,"On / Ahead",IF(D215&gt;=-0.05,"Watch","Behind")))</x:f>
      </x:c>
      <x:c r="J215"/>
      <x:c r="K215"/>
      <x:c r="L215"/>
      <x:c r="M215" t="str">
        <x:f>IF(A215="","",TEXT(A215,"mmm d"))</x:f>
      </x:c>
      <x:c r="N215" s="14" t="e">
        <x:f>IF(B215="",NA(),B215)</x:f>
        <x:v>#N/A</x:v>
      </x:c>
      <x:c r="O215" s="14" t="e">
        <x:f>IF(OR(P215="",$B$2="",$F$2="",P215&lt;$B$2,P215&gt;$F$2),NA(),IF(Q215=0,IF($F$2=$B$2,$H$2,MAX(0,MIN(1,$H$2*(3*MAX(0,MIN(1,(P215-$B$2)/($F$2-$B$2)))^2-2*MAX(0,MIN(1,(P215-$B$2)/($F$2-$B$2)))^3)))),MAX(0,MIN(1,T215+(V215-T215)*(3*W215^2-2*W215^3)))))</x:f>
        <x:v>#N/A</x:v>
      </x:c>
      <x:c r="P215" s="189" t="str">
        <x:f>A215</x:f>
      </x:c>
      <x:c r="Q215" t="n">
        <x:f>COUNT($G$7:$G$106)</x:f>
        <x:v>0</x:v>
      </x:c>
      <x:c r="R215" t="str">
        <x:f>IF(OR(P215="",$B$2="",$F$2="",P215&lt;$B$2,P215&gt;$F$2),"",IF(Q215=0,0,IF(P215&lt;$G$7,0,IF(P215&gt;=INDEX($G$7:$G$106,Q215),Q215,MATCH(P215,$G$7:$G$106,1)))))</x:f>
      </x:c>
      <x:c r="S215" t="str">
        <x:f>IF(R215="","",IF(R215=0,$B$2,INDEX($G$7:$G$106,R215)))</x:f>
      </x:c>
      <x:c r="T215" s="14" t="str">
        <x:f>IF(R215="","",IF(R215=0,0,INDEX($H$7:$H$106,R215)))</x:f>
      </x:c>
      <x:c r="U215" t="str">
        <x:f>IF(R215="","",IF(Q215=0,$F$2,IF(R215=0,$G$7,IF(R215&lt;Q215,INDEX($G$7:$G$106,R215+1),$F$2))))</x:f>
      </x:c>
      <x:c r="V215" s="14" t="str">
        <x:f>IF(R215="","",IF(Q215=0,$H$2,IF(R215=0,$H$7,IF(R215&lt;Q215,INDEX($H$7:$H$106,R215+1),$H$2))))</x:f>
      </x:c>
      <x:c r="W215" s="188" t="str">
        <x:f>IF(R215="","",IF(U215=S215,1,MAX(0,MIN(1,(P215-S215)/(U215-S215)))))</x:f>
      </x:c>
    </x:row>
    <x:row r="216">
      <x:c r="A216" s="159" t="str">
        <x:f>IF(OR(A215="",A215&gt;=$D$2),"",A215+1)</x:f>
      </x:c>
      <x:c r="B216" s="162" t="str">
        <x:f>IF(A216="","",IFERROR(SUMPRODUCT(--('Project Plan'!$A$7:$A$206&lt;&gt;""),('Project Plan'!$P$7:$P$206+('Project Plan'!$P$7:$P$206="")),--('Project Plan'!$F$7:$F$206&lt;&gt;""),--('Project Plan'!$G$7:$G$206&lt;&gt;""),((A216&gt;='Project Plan'!$G$7:$G$206)+((A216&gt;='Project Plan'!$F$7:$F$206)*(A216&lt;'Project Plan'!$G$7:$G$206)*(A216-'Project Plan'!$F$7:$F$206+1)/('Project Plan'!$G$7:$G$206-'Project Plan'!$F$7:$F$206+1))))/SUMPRODUCT(--('Project Plan'!$A$7:$A$206&lt;&gt;""),('Project Plan'!$P$7:$P$206+('Project Plan'!$P$7:$P$206=""))),0))</x:f>
      </x:c>
      <x:c r="C216" s="162" t="str">
        <x:f>IF(A216="","",IF(A216&gt;$F$2,"",IF(A216=$F$2,$H$2,IFERROR(LOOKUP(2,1/(($G$7:$G$106&lt;&gt;"")*($G$7:$G$106&lt;=A216)),$H$7:$H$106),""))))</x:f>
      </x:c>
      <x:c r="D216" s="162" t="str">
        <x:f>IF(C216="","",C216-B216)</x:f>
      </x:c>
      <x:c r="E216" s="163" t="str">
        <x:f>IF(D216="","",IF(D216&gt;=0,"On / Ahead",IF(D216&gt;=-0.05,"Watch","Behind")))</x:f>
      </x:c>
      <x:c r="J216"/>
      <x:c r="K216"/>
      <x:c r="L216"/>
      <x:c r="M216" t="str">
        <x:f>IF(A216="","",TEXT(A216,"mmm d"))</x:f>
      </x:c>
      <x:c r="N216" s="14" t="e">
        <x:f>IF(B216="",NA(),B216)</x:f>
        <x:v>#N/A</x:v>
      </x:c>
      <x:c r="O216" s="14" t="e">
        <x:f>IF(OR(P216="",$B$2="",$F$2="",P216&lt;$B$2,P216&gt;$F$2),NA(),IF(Q216=0,IF($F$2=$B$2,$H$2,MAX(0,MIN(1,$H$2*(3*MAX(0,MIN(1,(P216-$B$2)/($F$2-$B$2)))^2-2*MAX(0,MIN(1,(P216-$B$2)/($F$2-$B$2)))^3)))),MAX(0,MIN(1,T216+(V216-T216)*(3*W216^2-2*W216^3)))))</x:f>
        <x:v>#N/A</x:v>
      </x:c>
      <x:c r="P216" s="189" t="str">
        <x:f>A216</x:f>
      </x:c>
      <x:c r="Q216" t="n">
        <x:f>COUNT($G$7:$G$106)</x:f>
        <x:v>0</x:v>
      </x:c>
      <x:c r="R216" t="str">
        <x:f>IF(OR(P216="",$B$2="",$F$2="",P216&lt;$B$2,P216&gt;$F$2),"",IF(Q216=0,0,IF(P216&lt;$G$7,0,IF(P216&gt;=INDEX($G$7:$G$106,Q216),Q216,MATCH(P216,$G$7:$G$106,1)))))</x:f>
      </x:c>
      <x:c r="S216" t="str">
        <x:f>IF(R216="","",IF(R216=0,$B$2,INDEX($G$7:$G$106,R216)))</x:f>
      </x:c>
      <x:c r="T216" s="14" t="str">
        <x:f>IF(R216="","",IF(R216=0,0,INDEX($H$7:$H$106,R216)))</x:f>
      </x:c>
      <x:c r="U216" t="str">
        <x:f>IF(R216="","",IF(Q216=0,$F$2,IF(R216=0,$G$7,IF(R216&lt;Q216,INDEX($G$7:$G$106,R216+1),$F$2))))</x:f>
      </x:c>
      <x:c r="V216" s="14" t="str">
        <x:f>IF(R216="","",IF(Q216=0,$H$2,IF(R216=0,$H$7,IF(R216&lt;Q216,INDEX($H$7:$H$106,R216+1),$H$2))))</x:f>
      </x:c>
      <x:c r="W216" s="188" t="str">
        <x:f>IF(R216="","",IF(U216=S216,1,MAX(0,MIN(1,(P216-S216)/(U216-S216)))))</x:f>
      </x:c>
    </x:row>
    <x:row r="217">
      <x:c r="A217" s="159" t="str">
        <x:f>IF(OR(A216="",A216&gt;=$D$2),"",A216+1)</x:f>
      </x:c>
      <x:c r="B217" s="162" t="str">
        <x:f>IF(A217="","",IFERROR(SUMPRODUCT(--('Project Plan'!$A$7:$A$206&lt;&gt;""),('Project Plan'!$P$7:$P$206+('Project Plan'!$P$7:$P$206="")),--('Project Plan'!$F$7:$F$206&lt;&gt;""),--('Project Plan'!$G$7:$G$206&lt;&gt;""),((A217&gt;='Project Plan'!$G$7:$G$206)+((A217&gt;='Project Plan'!$F$7:$F$206)*(A217&lt;'Project Plan'!$G$7:$G$206)*(A217-'Project Plan'!$F$7:$F$206+1)/('Project Plan'!$G$7:$G$206-'Project Plan'!$F$7:$F$206+1))))/SUMPRODUCT(--('Project Plan'!$A$7:$A$206&lt;&gt;""),('Project Plan'!$P$7:$P$206+('Project Plan'!$P$7:$P$206=""))),0))</x:f>
      </x:c>
      <x:c r="C217" s="162" t="str">
        <x:f>IF(A217="","",IF(A217&gt;$F$2,"",IF(A217=$F$2,$H$2,IFERROR(LOOKUP(2,1/(($G$7:$G$106&lt;&gt;"")*($G$7:$G$106&lt;=A217)),$H$7:$H$106),""))))</x:f>
      </x:c>
      <x:c r="D217" s="162" t="str">
        <x:f>IF(C217="","",C217-B217)</x:f>
      </x:c>
      <x:c r="E217" s="163" t="str">
        <x:f>IF(D217="","",IF(D217&gt;=0,"On / Ahead",IF(D217&gt;=-0.05,"Watch","Behind")))</x:f>
      </x:c>
      <x:c r="J217"/>
      <x:c r="K217"/>
      <x:c r="L217"/>
      <x:c r="M217" t="str">
        <x:f>IF(A217="","",TEXT(A217,"mmm d"))</x:f>
      </x:c>
      <x:c r="N217" s="14" t="e">
        <x:f>IF(B217="",NA(),B217)</x:f>
        <x:v>#N/A</x:v>
      </x:c>
      <x:c r="O217" s="14" t="e">
        <x:f>IF(OR(P217="",$B$2="",$F$2="",P217&lt;$B$2,P217&gt;$F$2),NA(),IF(Q217=0,IF($F$2=$B$2,$H$2,MAX(0,MIN(1,$H$2*(3*MAX(0,MIN(1,(P217-$B$2)/($F$2-$B$2)))^2-2*MAX(0,MIN(1,(P217-$B$2)/($F$2-$B$2)))^3)))),MAX(0,MIN(1,T217+(V217-T217)*(3*W217^2-2*W217^3)))))</x:f>
        <x:v>#N/A</x:v>
      </x:c>
      <x:c r="P217" s="189" t="str">
        <x:f>A217</x:f>
      </x:c>
      <x:c r="Q217" t="n">
        <x:f>COUNT($G$7:$G$106)</x:f>
        <x:v>0</x:v>
      </x:c>
      <x:c r="R217" t="str">
        <x:f>IF(OR(P217="",$B$2="",$F$2="",P217&lt;$B$2,P217&gt;$F$2),"",IF(Q217=0,0,IF(P217&lt;$G$7,0,IF(P217&gt;=INDEX($G$7:$G$106,Q217),Q217,MATCH(P217,$G$7:$G$106,1)))))</x:f>
      </x:c>
      <x:c r="S217" t="str">
        <x:f>IF(R217="","",IF(R217=0,$B$2,INDEX($G$7:$G$106,R217)))</x:f>
      </x:c>
      <x:c r="T217" s="14" t="str">
        <x:f>IF(R217="","",IF(R217=0,0,INDEX($H$7:$H$106,R217)))</x:f>
      </x:c>
      <x:c r="U217" t="str">
        <x:f>IF(R217="","",IF(Q217=0,$F$2,IF(R217=0,$G$7,IF(R217&lt;Q217,INDEX($G$7:$G$106,R217+1),$F$2))))</x:f>
      </x:c>
      <x:c r="V217" s="14" t="str">
        <x:f>IF(R217="","",IF(Q217=0,$H$2,IF(R217=0,$H$7,IF(R217&lt;Q217,INDEX($H$7:$H$106,R217+1),$H$2))))</x:f>
      </x:c>
      <x:c r="W217" s="188" t="str">
        <x:f>IF(R217="","",IF(U217=S217,1,MAX(0,MIN(1,(P217-S217)/(U217-S217)))))</x:f>
      </x:c>
    </x:row>
    <x:row r="218">
      <x:c r="A218" s="159" t="str">
        <x:f>IF(OR(A217="",A217&gt;=$D$2),"",A217+1)</x:f>
      </x:c>
      <x:c r="B218" s="162" t="str">
        <x:f>IF(A218="","",IFERROR(SUMPRODUCT(--('Project Plan'!$A$7:$A$206&lt;&gt;""),('Project Plan'!$P$7:$P$206+('Project Plan'!$P$7:$P$206="")),--('Project Plan'!$F$7:$F$206&lt;&gt;""),--('Project Plan'!$G$7:$G$206&lt;&gt;""),((A218&gt;='Project Plan'!$G$7:$G$206)+((A218&gt;='Project Plan'!$F$7:$F$206)*(A218&lt;'Project Plan'!$G$7:$G$206)*(A218-'Project Plan'!$F$7:$F$206+1)/('Project Plan'!$G$7:$G$206-'Project Plan'!$F$7:$F$206+1))))/SUMPRODUCT(--('Project Plan'!$A$7:$A$206&lt;&gt;""),('Project Plan'!$P$7:$P$206+('Project Plan'!$P$7:$P$206=""))),0))</x:f>
      </x:c>
      <x:c r="C218" s="162" t="str">
        <x:f>IF(A218="","",IF(A218&gt;$F$2,"",IF(A218=$F$2,$H$2,IFERROR(LOOKUP(2,1/(($G$7:$G$106&lt;&gt;"")*($G$7:$G$106&lt;=A218)),$H$7:$H$106),""))))</x:f>
      </x:c>
      <x:c r="D218" s="162" t="str">
        <x:f>IF(C218="","",C218-B218)</x:f>
      </x:c>
      <x:c r="E218" s="163" t="str">
        <x:f>IF(D218="","",IF(D218&gt;=0,"On / Ahead",IF(D218&gt;=-0.05,"Watch","Behind")))</x:f>
      </x:c>
      <x:c r="J218"/>
      <x:c r="K218"/>
      <x:c r="L218"/>
      <x:c r="M218" t="str">
        <x:f>IF(A218="","",TEXT(A218,"mmm d"))</x:f>
      </x:c>
      <x:c r="N218" s="14" t="e">
        <x:f>IF(B218="",NA(),B218)</x:f>
        <x:v>#N/A</x:v>
      </x:c>
      <x:c r="O218" s="14" t="e">
        <x:f>IF(OR(P218="",$B$2="",$F$2="",P218&lt;$B$2,P218&gt;$F$2),NA(),IF(Q218=0,IF($F$2=$B$2,$H$2,MAX(0,MIN(1,$H$2*(3*MAX(0,MIN(1,(P218-$B$2)/($F$2-$B$2)))^2-2*MAX(0,MIN(1,(P218-$B$2)/($F$2-$B$2)))^3)))),MAX(0,MIN(1,T218+(V218-T218)*(3*W218^2-2*W218^3)))))</x:f>
        <x:v>#N/A</x:v>
      </x:c>
      <x:c r="P218" s="189" t="str">
        <x:f>A218</x:f>
      </x:c>
      <x:c r="Q218" t="n">
        <x:f>COUNT($G$7:$G$106)</x:f>
        <x:v>0</x:v>
      </x:c>
      <x:c r="R218" t="str">
        <x:f>IF(OR(P218="",$B$2="",$F$2="",P218&lt;$B$2,P218&gt;$F$2),"",IF(Q218=0,0,IF(P218&lt;$G$7,0,IF(P218&gt;=INDEX($G$7:$G$106,Q218),Q218,MATCH(P218,$G$7:$G$106,1)))))</x:f>
      </x:c>
      <x:c r="S218" t="str">
        <x:f>IF(R218="","",IF(R218=0,$B$2,INDEX($G$7:$G$106,R218)))</x:f>
      </x:c>
      <x:c r="T218" s="14" t="str">
        <x:f>IF(R218="","",IF(R218=0,0,INDEX($H$7:$H$106,R218)))</x:f>
      </x:c>
      <x:c r="U218" t="str">
        <x:f>IF(R218="","",IF(Q218=0,$F$2,IF(R218=0,$G$7,IF(R218&lt;Q218,INDEX($G$7:$G$106,R218+1),$F$2))))</x:f>
      </x:c>
      <x:c r="V218" s="14" t="str">
        <x:f>IF(R218="","",IF(Q218=0,$H$2,IF(R218=0,$H$7,IF(R218&lt;Q218,INDEX($H$7:$H$106,R218+1),$H$2))))</x:f>
      </x:c>
      <x:c r="W218" s="188" t="str">
        <x:f>IF(R218="","",IF(U218=S218,1,MAX(0,MIN(1,(P218-S218)/(U218-S218)))))</x:f>
      </x:c>
    </x:row>
    <x:row r="219">
      <x:c r="A219" s="159" t="str">
        <x:f>IF(OR(A218="",A218&gt;=$D$2),"",A218+1)</x:f>
      </x:c>
      <x:c r="B219" s="162" t="str">
        <x:f>IF(A219="","",IFERROR(SUMPRODUCT(--('Project Plan'!$A$7:$A$206&lt;&gt;""),('Project Plan'!$P$7:$P$206+('Project Plan'!$P$7:$P$206="")),--('Project Plan'!$F$7:$F$206&lt;&gt;""),--('Project Plan'!$G$7:$G$206&lt;&gt;""),((A219&gt;='Project Plan'!$G$7:$G$206)+((A219&gt;='Project Plan'!$F$7:$F$206)*(A219&lt;'Project Plan'!$G$7:$G$206)*(A219-'Project Plan'!$F$7:$F$206+1)/('Project Plan'!$G$7:$G$206-'Project Plan'!$F$7:$F$206+1))))/SUMPRODUCT(--('Project Plan'!$A$7:$A$206&lt;&gt;""),('Project Plan'!$P$7:$P$206+('Project Plan'!$P$7:$P$206=""))),0))</x:f>
      </x:c>
      <x:c r="C219" s="162" t="str">
        <x:f>IF(A219="","",IF(A219&gt;$F$2,"",IF(A219=$F$2,$H$2,IFERROR(LOOKUP(2,1/(($G$7:$G$106&lt;&gt;"")*($G$7:$G$106&lt;=A219)),$H$7:$H$106),""))))</x:f>
      </x:c>
      <x:c r="D219" s="162" t="str">
        <x:f>IF(C219="","",C219-B219)</x:f>
      </x:c>
      <x:c r="E219" s="163" t="str">
        <x:f>IF(D219="","",IF(D219&gt;=0,"On / Ahead",IF(D219&gt;=-0.05,"Watch","Behind")))</x:f>
      </x:c>
      <x:c r="J219"/>
      <x:c r="K219"/>
      <x:c r="L219"/>
      <x:c r="M219" t="str">
        <x:f>IF(A219="","",TEXT(A219,"mmm d"))</x:f>
      </x:c>
      <x:c r="N219" s="14" t="e">
        <x:f>IF(B219="",NA(),B219)</x:f>
        <x:v>#N/A</x:v>
      </x:c>
      <x:c r="O219" s="14" t="e">
        <x:f>IF(OR(P219="",$B$2="",$F$2="",P219&lt;$B$2,P219&gt;$F$2),NA(),IF(Q219=0,IF($F$2=$B$2,$H$2,MAX(0,MIN(1,$H$2*(3*MAX(0,MIN(1,(P219-$B$2)/($F$2-$B$2)))^2-2*MAX(0,MIN(1,(P219-$B$2)/($F$2-$B$2)))^3)))),MAX(0,MIN(1,T219+(V219-T219)*(3*W219^2-2*W219^3)))))</x:f>
        <x:v>#N/A</x:v>
      </x:c>
      <x:c r="P219" s="189" t="str">
        <x:f>A219</x:f>
      </x:c>
      <x:c r="Q219" t="n">
        <x:f>COUNT($G$7:$G$106)</x:f>
        <x:v>0</x:v>
      </x:c>
      <x:c r="R219" t="str">
        <x:f>IF(OR(P219="",$B$2="",$F$2="",P219&lt;$B$2,P219&gt;$F$2),"",IF(Q219=0,0,IF(P219&lt;$G$7,0,IF(P219&gt;=INDEX($G$7:$G$106,Q219),Q219,MATCH(P219,$G$7:$G$106,1)))))</x:f>
      </x:c>
      <x:c r="S219" t="str">
        <x:f>IF(R219="","",IF(R219=0,$B$2,INDEX($G$7:$G$106,R219)))</x:f>
      </x:c>
      <x:c r="T219" s="14" t="str">
        <x:f>IF(R219="","",IF(R219=0,0,INDEX($H$7:$H$106,R219)))</x:f>
      </x:c>
      <x:c r="U219" t="str">
        <x:f>IF(R219="","",IF(Q219=0,$F$2,IF(R219=0,$G$7,IF(R219&lt;Q219,INDEX($G$7:$G$106,R219+1),$F$2))))</x:f>
      </x:c>
      <x:c r="V219" s="14" t="str">
        <x:f>IF(R219="","",IF(Q219=0,$H$2,IF(R219=0,$H$7,IF(R219&lt;Q219,INDEX($H$7:$H$106,R219+1),$H$2))))</x:f>
      </x:c>
      <x:c r="W219" s="188" t="str">
        <x:f>IF(R219="","",IF(U219=S219,1,MAX(0,MIN(1,(P219-S219)/(U219-S219)))))</x:f>
      </x:c>
    </x:row>
    <x:row r="220">
      <x:c r="A220" s="159" t="str">
        <x:f>IF(OR(A219="",A219&gt;=$D$2),"",A219+1)</x:f>
      </x:c>
      <x:c r="B220" s="162" t="str">
        <x:f>IF(A220="","",IFERROR(SUMPRODUCT(--('Project Plan'!$A$7:$A$206&lt;&gt;""),('Project Plan'!$P$7:$P$206+('Project Plan'!$P$7:$P$206="")),--('Project Plan'!$F$7:$F$206&lt;&gt;""),--('Project Plan'!$G$7:$G$206&lt;&gt;""),((A220&gt;='Project Plan'!$G$7:$G$206)+((A220&gt;='Project Plan'!$F$7:$F$206)*(A220&lt;'Project Plan'!$G$7:$G$206)*(A220-'Project Plan'!$F$7:$F$206+1)/('Project Plan'!$G$7:$G$206-'Project Plan'!$F$7:$F$206+1))))/SUMPRODUCT(--('Project Plan'!$A$7:$A$206&lt;&gt;""),('Project Plan'!$P$7:$P$206+('Project Plan'!$P$7:$P$206=""))),0))</x:f>
      </x:c>
      <x:c r="C220" s="162" t="str">
        <x:f>IF(A220="","",IF(A220&gt;$F$2,"",IF(A220=$F$2,$H$2,IFERROR(LOOKUP(2,1/(($G$7:$G$106&lt;&gt;"")*($G$7:$G$106&lt;=A220)),$H$7:$H$106),""))))</x:f>
      </x:c>
      <x:c r="D220" s="162" t="str">
        <x:f>IF(C220="","",C220-B220)</x:f>
      </x:c>
      <x:c r="E220" s="163" t="str">
        <x:f>IF(D220="","",IF(D220&gt;=0,"On / Ahead",IF(D220&gt;=-0.05,"Watch","Behind")))</x:f>
      </x:c>
      <x:c r="J220"/>
      <x:c r="K220"/>
      <x:c r="L220"/>
      <x:c r="M220" t="str">
        <x:f>IF(A220="","",TEXT(A220,"mmm d"))</x:f>
      </x:c>
      <x:c r="N220" s="14" t="e">
        <x:f>IF(B220="",NA(),B220)</x:f>
        <x:v>#N/A</x:v>
      </x:c>
      <x:c r="O220" s="14" t="e">
        <x:f>IF(OR(P220="",$B$2="",$F$2="",P220&lt;$B$2,P220&gt;$F$2),NA(),IF(Q220=0,IF($F$2=$B$2,$H$2,MAX(0,MIN(1,$H$2*(3*MAX(0,MIN(1,(P220-$B$2)/($F$2-$B$2)))^2-2*MAX(0,MIN(1,(P220-$B$2)/($F$2-$B$2)))^3)))),MAX(0,MIN(1,T220+(V220-T220)*(3*W220^2-2*W220^3)))))</x:f>
        <x:v>#N/A</x:v>
      </x:c>
      <x:c r="P220" s="189" t="str">
        <x:f>A220</x:f>
      </x:c>
      <x:c r="Q220" t="n">
        <x:f>COUNT($G$7:$G$106)</x:f>
        <x:v>0</x:v>
      </x:c>
      <x:c r="R220" t="str">
        <x:f>IF(OR(P220="",$B$2="",$F$2="",P220&lt;$B$2,P220&gt;$F$2),"",IF(Q220=0,0,IF(P220&lt;$G$7,0,IF(P220&gt;=INDEX($G$7:$G$106,Q220),Q220,MATCH(P220,$G$7:$G$106,1)))))</x:f>
      </x:c>
      <x:c r="S220" t="str">
        <x:f>IF(R220="","",IF(R220=0,$B$2,INDEX($G$7:$G$106,R220)))</x:f>
      </x:c>
      <x:c r="T220" s="14" t="str">
        <x:f>IF(R220="","",IF(R220=0,0,INDEX($H$7:$H$106,R220)))</x:f>
      </x:c>
      <x:c r="U220" t="str">
        <x:f>IF(R220="","",IF(Q220=0,$F$2,IF(R220=0,$G$7,IF(R220&lt;Q220,INDEX($G$7:$G$106,R220+1),$F$2))))</x:f>
      </x:c>
      <x:c r="V220" s="14" t="str">
        <x:f>IF(R220="","",IF(Q220=0,$H$2,IF(R220=0,$H$7,IF(R220&lt;Q220,INDEX($H$7:$H$106,R220+1),$H$2))))</x:f>
      </x:c>
      <x:c r="W220" s="188" t="str">
        <x:f>IF(R220="","",IF(U220=S220,1,MAX(0,MIN(1,(P220-S220)/(U220-S220)))))</x:f>
      </x:c>
    </x:row>
    <x:row r="221">
      <x:c r="A221" s="159" t="str">
        <x:f>IF(OR(A220="",A220&gt;=$D$2),"",A220+1)</x:f>
      </x:c>
      <x:c r="B221" s="162" t="str">
        <x:f>IF(A221="","",IFERROR(SUMPRODUCT(--('Project Plan'!$A$7:$A$206&lt;&gt;""),('Project Plan'!$P$7:$P$206+('Project Plan'!$P$7:$P$206="")),--('Project Plan'!$F$7:$F$206&lt;&gt;""),--('Project Plan'!$G$7:$G$206&lt;&gt;""),((A221&gt;='Project Plan'!$G$7:$G$206)+((A221&gt;='Project Plan'!$F$7:$F$206)*(A221&lt;'Project Plan'!$G$7:$G$206)*(A221-'Project Plan'!$F$7:$F$206+1)/('Project Plan'!$G$7:$G$206-'Project Plan'!$F$7:$F$206+1))))/SUMPRODUCT(--('Project Plan'!$A$7:$A$206&lt;&gt;""),('Project Plan'!$P$7:$P$206+('Project Plan'!$P$7:$P$206=""))),0))</x:f>
      </x:c>
      <x:c r="C221" s="162" t="str">
        <x:f>IF(A221="","",IF(A221&gt;$F$2,"",IF(A221=$F$2,$H$2,IFERROR(LOOKUP(2,1/(($G$7:$G$106&lt;&gt;"")*($G$7:$G$106&lt;=A221)),$H$7:$H$106),""))))</x:f>
      </x:c>
      <x:c r="D221" s="162" t="str">
        <x:f>IF(C221="","",C221-B221)</x:f>
      </x:c>
      <x:c r="E221" s="163" t="str">
        <x:f>IF(D221="","",IF(D221&gt;=0,"On / Ahead",IF(D221&gt;=-0.05,"Watch","Behind")))</x:f>
      </x:c>
      <x:c r="J221"/>
      <x:c r="K221"/>
      <x:c r="L221"/>
      <x:c r="M221" t="str">
        <x:f>IF(A221="","",TEXT(A221,"mmm d"))</x:f>
      </x:c>
      <x:c r="N221" s="14" t="e">
        <x:f>IF(B221="",NA(),B221)</x:f>
        <x:v>#N/A</x:v>
      </x:c>
      <x:c r="O221" s="14" t="e">
        <x:f>IF(OR(P221="",$B$2="",$F$2="",P221&lt;$B$2,P221&gt;$F$2),NA(),IF(Q221=0,IF($F$2=$B$2,$H$2,MAX(0,MIN(1,$H$2*(3*MAX(0,MIN(1,(P221-$B$2)/($F$2-$B$2)))^2-2*MAX(0,MIN(1,(P221-$B$2)/($F$2-$B$2)))^3)))),MAX(0,MIN(1,T221+(V221-T221)*(3*W221^2-2*W221^3)))))</x:f>
        <x:v>#N/A</x:v>
      </x:c>
      <x:c r="P221" s="189" t="str">
        <x:f>A221</x:f>
      </x:c>
      <x:c r="Q221" t="n">
        <x:f>COUNT($G$7:$G$106)</x:f>
        <x:v>0</x:v>
      </x:c>
      <x:c r="R221" t="str">
        <x:f>IF(OR(P221="",$B$2="",$F$2="",P221&lt;$B$2,P221&gt;$F$2),"",IF(Q221=0,0,IF(P221&lt;$G$7,0,IF(P221&gt;=INDEX($G$7:$G$106,Q221),Q221,MATCH(P221,$G$7:$G$106,1)))))</x:f>
      </x:c>
      <x:c r="S221" t="str">
        <x:f>IF(R221="","",IF(R221=0,$B$2,INDEX($G$7:$G$106,R221)))</x:f>
      </x:c>
      <x:c r="T221" s="14" t="str">
        <x:f>IF(R221="","",IF(R221=0,0,INDEX($H$7:$H$106,R221)))</x:f>
      </x:c>
      <x:c r="U221" t="str">
        <x:f>IF(R221="","",IF(Q221=0,$F$2,IF(R221=0,$G$7,IF(R221&lt;Q221,INDEX($G$7:$G$106,R221+1),$F$2))))</x:f>
      </x:c>
      <x:c r="V221" s="14" t="str">
        <x:f>IF(R221="","",IF(Q221=0,$H$2,IF(R221=0,$H$7,IF(R221&lt;Q221,INDEX($H$7:$H$106,R221+1),$H$2))))</x:f>
      </x:c>
      <x:c r="W221" s="188" t="str">
        <x:f>IF(R221="","",IF(U221=S221,1,MAX(0,MIN(1,(P221-S221)/(U221-S221)))))</x:f>
      </x:c>
    </x:row>
    <x:row r="222">
      <x:c r="A222" s="159" t="str">
        <x:f>IF(OR(A221="",A221&gt;=$D$2),"",A221+1)</x:f>
      </x:c>
      <x:c r="B222" s="162" t="str">
        <x:f>IF(A222="","",IFERROR(SUMPRODUCT(--('Project Plan'!$A$7:$A$206&lt;&gt;""),('Project Plan'!$P$7:$P$206+('Project Plan'!$P$7:$P$206="")),--('Project Plan'!$F$7:$F$206&lt;&gt;""),--('Project Plan'!$G$7:$G$206&lt;&gt;""),((A222&gt;='Project Plan'!$G$7:$G$206)+((A222&gt;='Project Plan'!$F$7:$F$206)*(A222&lt;'Project Plan'!$G$7:$G$206)*(A222-'Project Plan'!$F$7:$F$206+1)/('Project Plan'!$G$7:$G$206-'Project Plan'!$F$7:$F$206+1))))/SUMPRODUCT(--('Project Plan'!$A$7:$A$206&lt;&gt;""),('Project Plan'!$P$7:$P$206+('Project Plan'!$P$7:$P$206=""))),0))</x:f>
      </x:c>
      <x:c r="C222" s="162" t="str">
        <x:f>IF(A222="","",IF(A222&gt;$F$2,"",IF(A222=$F$2,$H$2,IFERROR(LOOKUP(2,1/(($G$7:$G$106&lt;&gt;"")*($G$7:$G$106&lt;=A222)),$H$7:$H$106),""))))</x:f>
      </x:c>
      <x:c r="D222" s="162" t="str">
        <x:f>IF(C222="","",C222-B222)</x:f>
      </x:c>
      <x:c r="E222" s="163" t="str">
        <x:f>IF(D222="","",IF(D222&gt;=0,"On / Ahead",IF(D222&gt;=-0.05,"Watch","Behind")))</x:f>
      </x:c>
      <x:c r="J222"/>
      <x:c r="K222"/>
      <x:c r="L222"/>
      <x:c r="M222" t="str">
        <x:f>IF(A222="","",TEXT(A222,"mmm d"))</x:f>
      </x:c>
      <x:c r="N222" s="14" t="e">
        <x:f>IF(B222="",NA(),B222)</x:f>
        <x:v>#N/A</x:v>
      </x:c>
      <x:c r="O222" s="14" t="e">
        <x:f>IF(OR(P222="",$B$2="",$F$2="",P222&lt;$B$2,P222&gt;$F$2),NA(),IF(Q222=0,IF($F$2=$B$2,$H$2,MAX(0,MIN(1,$H$2*(3*MAX(0,MIN(1,(P222-$B$2)/($F$2-$B$2)))^2-2*MAX(0,MIN(1,(P222-$B$2)/($F$2-$B$2)))^3)))),MAX(0,MIN(1,T222+(V222-T222)*(3*W222^2-2*W222^3)))))</x:f>
        <x:v>#N/A</x:v>
      </x:c>
      <x:c r="P222" s="189" t="str">
        <x:f>A222</x:f>
      </x:c>
      <x:c r="Q222" t="n">
        <x:f>COUNT($G$7:$G$106)</x:f>
        <x:v>0</x:v>
      </x:c>
      <x:c r="R222" t="str">
        <x:f>IF(OR(P222="",$B$2="",$F$2="",P222&lt;$B$2,P222&gt;$F$2),"",IF(Q222=0,0,IF(P222&lt;$G$7,0,IF(P222&gt;=INDEX($G$7:$G$106,Q222),Q222,MATCH(P222,$G$7:$G$106,1)))))</x:f>
      </x:c>
      <x:c r="S222" t="str">
        <x:f>IF(R222="","",IF(R222=0,$B$2,INDEX($G$7:$G$106,R222)))</x:f>
      </x:c>
      <x:c r="T222" s="14" t="str">
        <x:f>IF(R222="","",IF(R222=0,0,INDEX($H$7:$H$106,R222)))</x:f>
      </x:c>
      <x:c r="U222" t="str">
        <x:f>IF(R222="","",IF(Q222=0,$F$2,IF(R222=0,$G$7,IF(R222&lt;Q222,INDEX($G$7:$G$106,R222+1),$F$2))))</x:f>
      </x:c>
      <x:c r="V222" s="14" t="str">
        <x:f>IF(R222="","",IF(Q222=0,$H$2,IF(R222=0,$H$7,IF(R222&lt;Q222,INDEX($H$7:$H$106,R222+1),$H$2))))</x:f>
      </x:c>
      <x:c r="W222" s="188" t="str">
        <x:f>IF(R222="","",IF(U222=S222,1,MAX(0,MIN(1,(P222-S222)/(U222-S222)))))</x:f>
      </x:c>
    </x:row>
    <x:row r="223">
      <x:c r="A223" s="159" t="str">
        <x:f>IF(OR(A222="",A222&gt;=$D$2),"",A222+1)</x:f>
      </x:c>
      <x:c r="B223" s="162" t="str">
        <x:f>IF(A223="","",IFERROR(SUMPRODUCT(--('Project Plan'!$A$7:$A$206&lt;&gt;""),('Project Plan'!$P$7:$P$206+('Project Plan'!$P$7:$P$206="")),--('Project Plan'!$F$7:$F$206&lt;&gt;""),--('Project Plan'!$G$7:$G$206&lt;&gt;""),((A223&gt;='Project Plan'!$G$7:$G$206)+((A223&gt;='Project Plan'!$F$7:$F$206)*(A223&lt;'Project Plan'!$G$7:$G$206)*(A223-'Project Plan'!$F$7:$F$206+1)/('Project Plan'!$G$7:$G$206-'Project Plan'!$F$7:$F$206+1))))/SUMPRODUCT(--('Project Plan'!$A$7:$A$206&lt;&gt;""),('Project Plan'!$P$7:$P$206+('Project Plan'!$P$7:$P$206=""))),0))</x:f>
      </x:c>
      <x:c r="C223" s="162" t="str">
        <x:f>IF(A223="","",IF(A223&gt;$F$2,"",IF(A223=$F$2,$H$2,IFERROR(LOOKUP(2,1/(($G$7:$G$106&lt;&gt;"")*($G$7:$G$106&lt;=A223)),$H$7:$H$106),""))))</x:f>
      </x:c>
      <x:c r="D223" s="162" t="str">
        <x:f>IF(C223="","",C223-B223)</x:f>
      </x:c>
      <x:c r="E223" s="163" t="str">
        <x:f>IF(D223="","",IF(D223&gt;=0,"On / Ahead",IF(D223&gt;=-0.05,"Watch","Behind")))</x:f>
      </x:c>
      <x:c r="J223"/>
      <x:c r="K223"/>
      <x:c r="L223"/>
      <x:c r="M223" t="str">
        <x:f>IF(A223="","",TEXT(A223,"mmm d"))</x:f>
      </x:c>
      <x:c r="N223" s="14" t="e">
        <x:f>IF(B223="",NA(),B223)</x:f>
        <x:v>#N/A</x:v>
      </x:c>
      <x:c r="O223" s="14" t="e">
        <x:f>IF(OR(P223="",$B$2="",$F$2="",P223&lt;$B$2,P223&gt;$F$2),NA(),IF(Q223=0,IF($F$2=$B$2,$H$2,MAX(0,MIN(1,$H$2*(3*MAX(0,MIN(1,(P223-$B$2)/($F$2-$B$2)))^2-2*MAX(0,MIN(1,(P223-$B$2)/($F$2-$B$2)))^3)))),MAX(0,MIN(1,T223+(V223-T223)*(3*W223^2-2*W223^3)))))</x:f>
        <x:v>#N/A</x:v>
      </x:c>
      <x:c r="P223" s="189" t="str">
        <x:f>A223</x:f>
      </x:c>
      <x:c r="Q223" t="n">
        <x:f>COUNT($G$7:$G$106)</x:f>
        <x:v>0</x:v>
      </x:c>
      <x:c r="R223" t="str">
        <x:f>IF(OR(P223="",$B$2="",$F$2="",P223&lt;$B$2,P223&gt;$F$2),"",IF(Q223=0,0,IF(P223&lt;$G$7,0,IF(P223&gt;=INDEX($G$7:$G$106,Q223),Q223,MATCH(P223,$G$7:$G$106,1)))))</x:f>
      </x:c>
      <x:c r="S223" t="str">
        <x:f>IF(R223="","",IF(R223=0,$B$2,INDEX($G$7:$G$106,R223)))</x:f>
      </x:c>
      <x:c r="T223" s="14" t="str">
        <x:f>IF(R223="","",IF(R223=0,0,INDEX($H$7:$H$106,R223)))</x:f>
      </x:c>
      <x:c r="U223" t="str">
        <x:f>IF(R223="","",IF(Q223=0,$F$2,IF(R223=0,$G$7,IF(R223&lt;Q223,INDEX($G$7:$G$106,R223+1),$F$2))))</x:f>
      </x:c>
      <x:c r="V223" s="14" t="str">
        <x:f>IF(R223="","",IF(Q223=0,$H$2,IF(R223=0,$H$7,IF(R223&lt;Q223,INDEX($H$7:$H$106,R223+1),$H$2))))</x:f>
      </x:c>
      <x:c r="W223" s="188" t="str">
        <x:f>IF(R223="","",IF(U223=S223,1,MAX(0,MIN(1,(P223-S223)/(U223-S223)))))</x:f>
      </x:c>
    </x:row>
    <x:row r="224">
      <x:c r="A224" s="159" t="str">
        <x:f>IF(OR(A223="",A223&gt;=$D$2),"",A223+1)</x:f>
      </x:c>
      <x:c r="B224" s="162" t="str">
        <x:f>IF(A224="","",IFERROR(SUMPRODUCT(--('Project Plan'!$A$7:$A$206&lt;&gt;""),('Project Plan'!$P$7:$P$206+('Project Plan'!$P$7:$P$206="")),--('Project Plan'!$F$7:$F$206&lt;&gt;""),--('Project Plan'!$G$7:$G$206&lt;&gt;""),((A224&gt;='Project Plan'!$G$7:$G$206)+((A224&gt;='Project Plan'!$F$7:$F$206)*(A224&lt;'Project Plan'!$G$7:$G$206)*(A224-'Project Plan'!$F$7:$F$206+1)/('Project Plan'!$G$7:$G$206-'Project Plan'!$F$7:$F$206+1))))/SUMPRODUCT(--('Project Plan'!$A$7:$A$206&lt;&gt;""),('Project Plan'!$P$7:$P$206+('Project Plan'!$P$7:$P$206=""))),0))</x:f>
      </x:c>
      <x:c r="C224" s="162" t="str">
        <x:f>IF(A224="","",IF(A224&gt;$F$2,"",IF(A224=$F$2,$H$2,IFERROR(LOOKUP(2,1/(($G$7:$G$106&lt;&gt;"")*($G$7:$G$106&lt;=A224)),$H$7:$H$106),""))))</x:f>
      </x:c>
      <x:c r="D224" s="162" t="str">
        <x:f>IF(C224="","",C224-B224)</x:f>
      </x:c>
      <x:c r="E224" s="163" t="str">
        <x:f>IF(D224="","",IF(D224&gt;=0,"On / Ahead",IF(D224&gt;=-0.05,"Watch","Behind")))</x:f>
      </x:c>
      <x:c r="J224"/>
      <x:c r="K224"/>
      <x:c r="L224"/>
      <x:c r="M224" t="str">
        <x:f>IF(A224="","",TEXT(A224,"mmm d"))</x:f>
      </x:c>
      <x:c r="N224" s="14" t="e">
        <x:f>IF(B224="",NA(),B224)</x:f>
        <x:v>#N/A</x:v>
      </x:c>
      <x:c r="O224" s="14" t="e">
        <x:f>IF(OR(P224="",$B$2="",$F$2="",P224&lt;$B$2,P224&gt;$F$2),NA(),IF(Q224=0,IF($F$2=$B$2,$H$2,MAX(0,MIN(1,$H$2*(3*MAX(0,MIN(1,(P224-$B$2)/($F$2-$B$2)))^2-2*MAX(0,MIN(1,(P224-$B$2)/($F$2-$B$2)))^3)))),MAX(0,MIN(1,T224+(V224-T224)*(3*W224^2-2*W224^3)))))</x:f>
        <x:v>#N/A</x:v>
      </x:c>
      <x:c r="P224" s="189" t="str">
        <x:f>A224</x:f>
      </x:c>
      <x:c r="Q224" t="n">
        <x:f>COUNT($G$7:$G$106)</x:f>
        <x:v>0</x:v>
      </x:c>
      <x:c r="R224" t="str">
        <x:f>IF(OR(P224="",$B$2="",$F$2="",P224&lt;$B$2,P224&gt;$F$2),"",IF(Q224=0,0,IF(P224&lt;$G$7,0,IF(P224&gt;=INDEX($G$7:$G$106,Q224),Q224,MATCH(P224,$G$7:$G$106,1)))))</x:f>
      </x:c>
      <x:c r="S224" t="str">
        <x:f>IF(R224="","",IF(R224=0,$B$2,INDEX($G$7:$G$106,R224)))</x:f>
      </x:c>
      <x:c r="T224" s="14" t="str">
        <x:f>IF(R224="","",IF(R224=0,0,INDEX($H$7:$H$106,R224)))</x:f>
      </x:c>
      <x:c r="U224" t="str">
        <x:f>IF(R224="","",IF(Q224=0,$F$2,IF(R224=0,$G$7,IF(R224&lt;Q224,INDEX($G$7:$G$106,R224+1),$F$2))))</x:f>
      </x:c>
      <x:c r="V224" s="14" t="str">
        <x:f>IF(R224="","",IF(Q224=0,$H$2,IF(R224=0,$H$7,IF(R224&lt;Q224,INDEX($H$7:$H$106,R224+1),$H$2))))</x:f>
      </x:c>
      <x:c r="W224" s="188" t="str">
        <x:f>IF(R224="","",IF(U224=S224,1,MAX(0,MIN(1,(P224-S224)/(U224-S224)))))</x:f>
      </x:c>
    </x:row>
    <x:row r="225">
      <x:c r="A225" s="159" t="str">
        <x:f>IF(OR(A224="",A224&gt;=$D$2),"",A224+1)</x:f>
      </x:c>
      <x:c r="B225" s="162" t="str">
        <x:f>IF(A225="","",IFERROR(SUMPRODUCT(--('Project Plan'!$A$7:$A$206&lt;&gt;""),('Project Plan'!$P$7:$P$206+('Project Plan'!$P$7:$P$206="")),--('Project Plan'!$F$7:$F$206&lt;&gt;""),--('Project Plan'!$G$7:$G$206&lt;&gt;""),((A225&gt;='Project Plan'!$G$7:$G$206)+((A225&gt;='Project Plan'!$F$7:$F$206)*(A225&lt;'Project Plan'!$G$7:$G$206)*(A225-'Project Plan'!$F$7:$F$206+1)/('Project Plan'!$G$7:$G$206-'Project Plan'!$F$7:$F$206+1))))/SUMPRODUCT(--('Project Plan'!$A$7:$A$206&lt;&gt;""),('Project Plan'!$P$7:$P$206+('Project Plan'!$P$7:$P$206=""))),0))</x:f>
      </x:c>
      <x:c r="C225" s="162" t="str">
        <x:f>IF(A225="","",IF(A225&gt;$F$2,"",IF(A225=$F$2,$H$2,IFERROR(LOOKUP(2,1/(($G$7:$G$106&lt;&gt;"")*($G$7:$G$106&lt;=A225)),$H$7:$H$106),""))))</x:f>
      </x:c>
      <x:c r="D225" s="162" t="str">
        <x:f>IF(C225="","",C225-B225)</x:f>
      </x:c>
      <x:c r="E225" s="163" t="str">
        <x:f>IF(D225="","",IF(D225&gt;=0,"On / Ahead",IF(D225&gt;=-0.05,"Watch","Behind")))</x:f>
      </x:c>
      <x:c r="J225"/>
      <x:c r="K225"/>
      <x:c r="L225"/>
      <x:c r="M225" t="str">
        <x:f>IF(A225="","",TEXT(A225,"mmm d"))</x:f>
      </x:c>
      <x:c r="N225" s="14" t="e">
        <x:f>IF(B225="",NA(),B225)</x:f>
        <x:v>#N/A</x:v>
      </x:c>
      <x:c r="O225" s="14" t="e">
        <x:f>IF(OR(P225="",$B$2="",$F$2="",P225&lt;$B$2,P225&gt;$F$2),NA(),IF(Q225=0,IF($F$2=$B$2,$H$2,MAX(0,MIN(1,$H$2*(3*MAX(0,MIN(1,(P225-$B$2)/($F$2-$B$2)))^2-2*MAX(0,MIN(1,(P225-$B$2)/($F$2-$B$2)))^3)))),MAX(0,MIN(1,T225+(V225-T225)*(3*W225^2-2*W225^3)))))</x:f>
        <x:v>#N/A</x:v>
      </x:c>
      <x:c r="P225" s="189" t="str">
        <x:f>A225</x:f>
      </x:c>
      <x:c r="Q225" t="n">
        <x:f>COUNT($G$7:$G$106)</x:f>
        <x:v>0</x:v>
      </x:c>
      <x:c r="R225" t="str">
        <x:f>IF(OR(P225="",$B$2="",$F$2="",P225&lt;$B$2,P225&gt;$F$2),"",IF(Q225=0,0,IF(P225&lt;$G$7,0,IF(P225&gt;=INDEX($G$7:$G$106,Q225),Q225,MATCH(P225,$G$7:$G$106,1)))))</x:f>
      </x:c>
      <x:c r="S225" t="str">
        <x:f>IF(R225="","",IF(R225=0,$B$2,INDEX($G$7:$G$106,R225)))</x:f>
      </x:c>
      <x:c r="T225" s="14" t="str">
        <x:f>IF(R225="","",IF(R225=0,0,INDEX($H$7:$H$106,R225)))</x:f>
      </x:c>
      <x:c r="U225" t="str">
        <x:f>IF(R225="","",IF(Q225=0,$F$2,IF(R225=0,$G$7,IF(R225&lt;Q225,INDEX($G$7:$G$106,R225+1),$F$2))))</x:f>
      </x:c>
      <x:c r="V225" s="14" t="str">
        <x:f>IF(R225="","",IF(Q225=0,$H$2,IF(R225=0,$H$7,IF(R225&lt;Q225,INDEX($H$7:$H$106,R225+1),$H$2))))</x:f>
      </x:c>
      <x:c r="W225" s="188" t="str">
        <x:f>IF(R225="","",IF(U225=S225,1,MAX(0,MIN(1,(P225-S225)/(U225-S225)))))</x:f>
      </x:c>
    </x:row>
    <x:row r="226">
      <x:c r="A226" s="159" t="str">
        <x:f>IF(OR(A225="",A225&gt;=$D$2),"",A225+1)</x:f>
      </x:c>
      <x:c r="B226" s="162" t="str">
        <x:f>IF(A226="","",IFERROR(SUMPRODUCT(--('Project Plan'!$A$7:$A$206&lt;&gt;""),('Project Plan'!$P$7:$P$206+('Project Plan'!$P$7:$P$206="")),--('Project Plan'!$F$7:$F$206&lt;&gt;""),--('Project Plan'!$G$7:$G$206&lt;&gt;""),((A226&gt;='Project Plan'!$G$7:$G$206)+((A226&gt;='Project Plan'!$F$7:$F$206)*(A226&lt;'Project Plan'!$G$7:$G$206)*(A226-'Project Plan'!$F$7:$F$206+1)/('Project Plan'!$G$7:$G$206-'Project Plan'!$F$7:$F$206+1))))/SUMPRODUCT(--('Project Plan'!$A$7:$A$206&lt;&gt;""),('Project Plan'!$P$7:$P$206+('Project Plan'!$P$7:$P$206=""))),0))</x:f>
      </x:c>
      <x:c r="C226" s="162" t="str">
        <x:f>IF(A226="","",IF(A226&gt;$F$2,"",IF(A226=$F$2,$H$2,IFERROR(LOOKUP(2,1/(($G$7:$G$106&lt;&gt;"")*($G$7:$G$106&lt;=A226)),$H$7:$H$106),""))))</x:f>
      </x:c>
      <x:c r="D226" s="162" t="str">
        <x:f>IF(C226="","",C226-B226)</x:f>
      </x:c>
      <x:c r="E226" s="163" t="str">
        <x:f>IF(D226="","",IF(D226&gt;=0,"On / Ahead",IF(D226&gt;=-0.05,"Watch","Behind")))</x:f>
      </x:c>
      <x:c r="J226"/>
      <x:c r="K226"/>
      <x:c r="L226"/>
      <x:c r="M226" t="str">
        <x:f>IF(A226="","",TEXT(A226,"mmm d"))</x:f>
      </x:c>
      <x:c r="N226" s="14" t="e">
        <x:f>IF(B226="",NA(),B226)</x:f>
        <x:v>#N/A</x:v>
      </x:c>
      <x:c r="O226" s="14" t="e">
        <x:f>IF(OR(P226="",$B$2="",$F$2="",P226&lt;$B$2,P226&gt;$F$2),NA(),IF(Q226=0,IF($F$2=$B$2,$H$2,MAX(0,MIN(1,$H$2*(3*MAX(0,MIN(1,(P226-$B$2)/($F$2-$B$2)))^2-2*MAX(0,MIN(1,(P226-$B$2)/($F$2-$B$2)))^3)))),MAX(0,MIN(1,T226+(V226-T226)*(3*W226^2-2*W226^3)))))</x:f>
        <x:v>#N/A</x:v>
      </x:c>
      <x:c r="P226" s="189" t="str">
        <x:f>A226</x:f>
      </x:c>
      <x:c r="Q226" t="n">
        <x:f>COUNT($G$7:$G$106)</x:f>
        <x:v>0</x:v>
      </x:c>
      <x:c r="R226" t="str">
        <x:f>IF(OR(P226="",$B$2="",$F$2="",P226&lt;$B$2,P226&gt;$F$2),"",IF(Q226=0,0,IF(P226&lt;$G$7,0,IF(P226&gt;=INDEX($G$7:$G$106,Q226),Q226,MATCH(P226,$G$7:$G$106,1)))))</x:f>
      </x:c>
      <x:c r="S226" t="str">
        <x:f>IF(R226="","",IF(R226=0,$B$2,INDEX($G$7:$G$106,R226)))</x:f>
      </x:c>
      <x:c r="T226" s="14" t="str">
        <x:f>IF(R226="","",IF(R226=0,0,INDEX($H$7:$H$106,R226)))</x:f>
      </x:c>
      <x:c r="U226" t="str">
        <x:f>IF(R226="","",IF(Q226=0,$F$2,IF(R226=0,$G$7,IF(R226&lt;Q226,INDEX($G$7:$G$106,R226+1),$F$2))))</x:f>
      </x:c>
      <x:c r="V226" s="14" t="str">
        <x:f>IF(R226="","",IF(Q226=0,$H$2,IF(R226=0,$H$7,IF(R226&lt;Q226,INDEX($H$7:$H$106,R226+1),$H$2))))</x:f>
      </x:c>
      <x:c r="W226" s="188" t="str">
        <x:f>IF(R226="","",IF(U226=S226,1,MAX(0,MIN(1,(P226-S226)/(U226-S226)))))</x:f>
      </x:c>
    </x:row>
    <x:row r="227">
      <x:c r="A227" s="159" t="str">
        <x:f>IF(OR(A226="",A226&gt;=$D$2),"",A226+1)</x:f>
      </x:c>
      <x:c r="B227" s="162" t="str">
        <x:f>IF(A227="","",IFERROR(SUMPRODUCT(--('Project Plan'!$A$7:$A$206&lt;&gt;""),('Project Plan'!$P$7:$P$206+('Project Plan'!$P$7:$P$206="")),--('Project Plan'!$F$7:$F$206&lt;&gt;""),--('Project Plan'!$G$7:$G$206&lt;&gt;""),((A227&gt;='Project Plan'!$G$7:$G$206)+((A227&gt;='Project Plan'!$F$7:$F$206)*(A227&lt;'Project Plan'!$G$7:$G$206)*(A227-'Project Plan'!$F$7:$F$206+1)/('Project Plan'!$G$7:$G$206-'Project Plan'!$F$7:$F$206+1))))/SUMPRODUCT(--('Project Plan'!$A$7:$A$206&lt;&gt;""),('Project Plan'!$P$7:$P$206+('Project Plan'!$P$7:$P$206=""))),0))</x:f>
      </x:c>
      <x:c r="C227" s="162" t="str">
        <x:f>IF(A227="","",IF(A227&gt;$F$2,"",IF(A227=$F$2,$H$2,IFERROR(LOOKUP(2,1/(($G$7:$G$106&lt;&gt;"")*($G$7:$G$106&lt;=A227)),$H$7:$H$106),""))))</x:f>
      </x:c>
      <x:c r="D227" s="162" t="str">
        <x:f>IF(C227="","",C227-B227)</x:f>
      </x:c>
      <x:c r="E227" s="163" t="str">
        <x:f>IF(D227="","",IF(D227&gt;=0,"On / Ahead",IF(D227&gt;=-0.05,"Watch","Behind")))</x:f>
      </x:c>
      <x:c r="J227"/>
      <x:c r="K227"/>
      <x:c r="L227"/>
      <x:c r="M227" t="str">
        <x:f>IF(A227="","",TEXT(A227,"mmm d"))</x:f>
      </x:c>
      <x:c r="N227" s="14" t="e">
        <x:f>IF(B227="",NA(),B227)</x:f>
        <x:v>#N/A</x:v>
      </x:c>
      <x:c r="O227" s="14" t="e">
        <x:f>IF(OR(P227="",$B$2="",$F$2="",P227&lt;$B$2,P227&gt;$F$2),NA(),IF(Q227=0,IF($F$2=$B$2,$H$2,MAX(0,MIN(1,$H$2*(3*MAX(0,MIN(1,(P227-$B$2)/($F$2-$B$2)))^2-2*MAX(0,MIN(1,(P227-$B$2)/($F$2-$B$2)))^3)))),MAX(0,MIN(1,T227+(V227-T227)*(3*W227^2-2*W227^3)))))</x:f>
        <x:v>#N/A</x:v>
      </x:c>
      <x:c r="P227" s="189" t="str">
        <x:f>A227</x:f>
      </x:c>
      <x:c r="Q227" t="n">
        <x:f>COUNT($G$7:$G$106)</x:f>
        <x:v>0</x:v>
      </x:c>
      <x:c r="R227" t="str">
        <x:f>IF(OR(P227="",$B$2="",$F$2="",P227&lt;$B$2,P227&gt;$F$2),"",IF(Q227=0,0,IF(P227&lt;$G$7,0,IF(P227&gt;=INDEX($G$7:$G$106,Q227),Q227,MATCH(P227,$G$7:$G$106,1)))))</x:f>
      </x:c>
      <x:c r="S227" t="str">
        <x:f>IF(R227="","",IF(R227=0,$B$2,INDEX($G$7:$G$106,R227)))</x:f>
      </x:c>
      <x:c r="T227" s="14" t="str">
        <x:f>IF(R227="","",IF(R227=0,0,INDEX($H$7:$H$106,R227)))</x:f>
      </x:c>
      <x:c r="U227" t="str">
        <x:f>IF(R227="","",IF(Q227=0,$F$2,IF(R227=0,$G$7,IF(R227&lt;Q227,INDEX($G$7:$G$106,R227+1),$F$2))))</x:f>
      </x:c>
      <x:c r="V227" s="14" t="str">
        <x:f>IF(R227="","",IF(Q227=0,$H$2,IF(R227=0,$H$7,IF(R227&lt;Q227,INDEX($H$7:$H$106,R227+1),$H$2))))</x:f>
      </x:c>
      <x:c r="W227" s="188" t="str">
        <x:f>IF(R227="","",IF(U227=S227,1,MAX(0,MIN(1,(P227-S227)/(U227-S227)))))</x:f>
      </x:c>
    </x:row>
    <x:row r="228">
      <x:c r="A228" s="159" t="str">
        <x:f>IF(OR(A227="",A227&gt;=$D$2),"",A227+1)</x:f>
      </x:c>
      <x:c r="B228" s="162" t="str">
        <x:f>IF(A228="","",IFERROR(SUMPRODUCT(--('Project Plan'!$A$7:$A$206&lt;&gt;""),('Project Plan'!$P$7:$P$206+('Project Plan'!$P$7:$P$206="")),--('Project Plan'!$F$7:$F$206&lt;&gt;""),--('Project Plan'!$G$7:$G$206&lt;&gt;""),((A228&gt;='Project Plan'!$G$7:$G$206)+((A228&gt;='Project Plan'!$F$7:$F$206)*(A228&lt;'Project Plan'!$G$7:$G$206)*(A228-'Project Plan'!$F$7:$F$206+1)/('Project Plan'!$G$7:$G$206-'Project Plan'!$F$7:$F$206+1))))/SUMPRODUCT(--('Project Plan'!$A$7:$A$206&lt;&gt;""),('Project Plan'!$P$7:$P$206+('Project Plan'!$P$7:$P$206=""))),0))</x:f>
      </x:c>
      <x:c r="C228" s="162" t="str">
        <x:f>IF(A228="","",IF(A228&gt;$F$2,"",IF(A228=$F$2,$H$2,IFERROR(LOOKUP(2,1/(($G$7:$G$106&lt;&gt;"")*($G$7:$G$106&lt;=A228)),$H$7:$H$106),""))))</x:f>
      </x:c>
      <x:c r="D228" s="162" t="str">
        <x:f>IF(C228="","",C228-B228)</x:f>
      </x:c>
      <x:c r="E228" s="163" t="str">
        <x:f>IF(D228="","",IF(D228&gt;=0,"On / Ahead",IF(D228&gt;=-0.05,"Watch","Behind")))</x:f>
      </x:c>
      <x:c r="J228"/>
      <x:c r="K228"/>
      <x:c r="L228"/>
      <x:c r="M228" t="str">
        <x:f>IF(A228="","",TEXT(A228,"mmm d"))</x:f>
      </x:c>
      <x:c r="N228" s="14" t="e">
        <x:f>IF(B228="",NA(),B228)</x:f>
        <x:v>#N/A</x:v>
      </x:c>
      <x:c r="O228" s="14" t="e">
        <x:f>IF(OR(P228="",$B$2="",$F$2="",P228&lt;$B$2,P228&gt;$F$2),NA(),IF(Q228=0,IF($F$2=$B$2,$H$2,MAX(0,MIN(1,$H$2*(3*MAX(0,MIN(1,(P228-$B$2)/($F$2-$B$2)))^2-2*MAX(0,MIN(1,(P228-$B$2)/($F$2-$B$2)))^3)))),MAX(0,MIN(1,T228+(V228-T228)*(3*W228^2-2*W228^3)))))</x:f>
        <x:v>#N/A</x:v>
      </x:c>
      <x:c r="P228" s="189" t="str">
        <x:f>A228</x:f>
      </x:c>
      <x:c r="Q228" t="n">
        <x:f>COUNT($G$7:$G$106)</x:f>
        <x:v>0</x:v>
      </x:c>
      <x:c r="R228" t="str">
        <x:f>IF(OR(P228="",$B$2="",$F$2="",P228&lt;$B$2,P228&gt;$F$2),"",IF(Q228=0,0,IF(P228&lt;$G$7,0,IF(P228&gt;=INDEX($G$7:$G$106,Q228),Q228,MATCH(P228,$G$7:$G$106,1)))))</x:f>
      </x:c>
      <x:c r="S228" t="str">
        <x:f>IF(R228="","",IF(R228=0,$B$2,INDEX($G$7:$G$106,R228)))</x:f>
      </x:c>
      <x:c r="T228" s="14" t="str">
        <x:f>IF(R228="","",IF(R228=0,0,INDEX($H$7:$H$106,R228)))</x:f>
      </x:c>
      <x:c r="U228" t="str">
        <x:f>IF(R228="","",IF(Q228=0,$F$2,IF(R228=0,$G$7,IF(R228&lt;Q228,INDEX($G$7:$G$106,R228+1),$F$2))))</x:f>
      </x:c>
      <x:c r="V228" s="14" t="str">
        <x:f>IF(R228="","",IF(Q228=0,$H$2,IF(R228=0,$H$7,IF(R228&lt;Q228,INDEX($H$7:$H$106,R228+1),$H$2))))</x:f>
      </x:c>
      <x:c r="W228" s="188" t="str">
        <x:f>IF(R228="","",IF(U228=S228,1,MAX(0,MIN(1,(P228-S228)/(U228-S228)))))</x:f>
      </x:c>
    </x:row>
    <x:row r="229">
      <x:c r="A229" s="159" t="str">
        <x:f>IF(OR(A228="",A228&gt;=$D$2),"",A228+1)</x:f>
      </x:c>
      <x:c r="B229" s="162" t="str">
        <x:f>IF(A229="","",IFERROR(SUMPRODUCT(--('Project Plan'!$A$7:$A$206&lt;&gt;""),('Project Plan'!$P$7:$P$206+('Project Plan'!$P$7:$P$206="")),--('Project Plan'!$F$7:$F$206&lt;&gt;""),--('Project Plan'!$G$7:$G$206&lt;&gt;""),((A229&gt;='Project Plan'!$G$7:$G$206)+((A229&gt;='Project Plan'!$F$7:$F$206)*(A229&lt;'Project Plan'!$G$7:$G$206)*(A229-'Project Plan'!$F$7:$F$206+1)/('Project Plan'!$G$7:$G$206-'Project Plan'!$F$7:$F$206+1))))/SUMPRODUCT(--('Project Plan'!$A$7:$A$206&lt;&gt;""),('Project Plan'!$P$7:$P$206+('Project Plan'!$P$7:$P$206=""))),0))</x:f>
      </x:c>
      <x:c r="C229" s="162" t="str">
        <x:f>IF(A229="","",IF(A229&gt;$F$2,"",IF(A229=$F$2,$H$2,IFERROR(LOOKUP(2,1/(($G$7:$G$106&lt;&gt;"")*($G$7:$G$106&lt;=A229)),$H$7:$H$106),""))))</x:f>
      </x:c>
      <x:c r="D229" s="162" t="str">
        <x:f>IF(C229="","",C229-B229)</x:f>
      </x:c>
      <x:c r="E229" s="163" t="str">
        <x:f>IF(D229="","",IF(D229&gt;=0,"On / Ahead",IF(D229&gt;=-0.05,"Watch","Behind")))</x:f>
      </x:c>
      <x:c r="J229"/>
      <x:c r="K229"/>
      <x:c r="L229"/>
      <x:c r="M229" t="str">
        <x:f>IF(A229="","",TEXT(A229,"mmm d"))</x:f>
      </x:c>
      <x:c r="N229" s="14" t="e">
        <x:f>IF(B229="",NA(),B229)</x:f>
        <x:v>#N/A</x:v>
      </x:c>
      <x:c r="O229" s="14" t="e">
        <x:f>IF(OR(P229="",$B$2="",$F$2="",P229&lt;$B$2,P229&gt;$F$2),NA(),IF(Q229=0,IF($F$2=$B$2,$H$2,MAX(0,MIN(1,$H$2*(3*MAX(0,MIN(1,(P229-$B$2)/($F$2-$B$2)))^2-2*MAX(0,MIN(1,(P229-$B$2)/($F$2-$B$2)))^3)))),MAX(0,MIN(1,T229+(V229-T229)*(3*W229^2-2*W229^3)))))</x:f>
        <x:v>#N/A</x:v>
      </x:c>
      <x:c r="P229" s="189" t="str">
        <x:f>A229</x:f>
      </x:c>
      <x:c r="Q229" t="n">
        <x:f>COUNT($G$7:$G$106)</x:f>
        <x:v>0</x:v>
      </x:c>
      <x:c r="R229" t="str">
        <x:f>IF(OR(P229="",$B$2="",$F$2="",P229&lt;$B$2,P229&gt;$F$2),"",IF(Q229=0,0,IF(P229&lt;$G$7,0,IF(P229&gt;=INDEX($G$7:$G$106,Q229),Q229,MATCH(P229,$G$7:$G$106,1)))))</x:f>
      </x:c>
      <x:c r="S229" t="str">
        <x:f>IF(R229="","",IF(R229=0,$B$2,INDEX($G$7:$G$106,R229)))</x:f>
      </x:c>
      <x:c r="T229" s="14" t="str">
        <x:f>IF(R229="","",IF(R229=0,0,INDEX($H$7:$H$106,R229)))</x:f>
      </x:c>
      <x:c r="U229" t="str">
        <x:f>IF(R229="","",IF(Q229=0,$F$2,IF(R229=0,$G$7,IF(R229&lt;Q229,INDEX($G$7:$G$106,R229+1),$F$2))))</x:f>
      </x:c>
      <x:c r="V229" s="14" t="str">
        <x:f>IF(R229="","",IF(Q229=0,$H$2,IF(R229=0,$H$7,IF(R229&lt;Q229,INDEX($H$7:$H$106,R229+1),$H$2))))</x:f>
      </x:c>
      <x:c r="W229" s="188" t="str">
        <x:f>IF(R229="","",IF(U229=S229,1,MAX(0,MIN(1,(P229-S229)/(U229-S229)))))</x:f>
      </x:c>
    </x:row>
    <x:row r="230">
      <x:c r="A230" s="159" t="str">
        <x:f>IF(OR(A229="",A229&gt;=$D$2),"",A229+1)</x:f>
      </x:c>
      <x:c r="B230" s="162" t="str">
        <x:f>IF(A230="","",IFERROR(SUMPRODUCT(--('Project Plan'!$A$7:$A$206&lt;&gt;""),('Project Plan'!$P$7:$P$206+('Project Plan'!$P$7:$P$206="")),--('Project Plan'!$F$7:$F$206&lt;&gt;""),--('Project Plan'!$G$7:$G$206&lt;&gt;""),((A230&gt;='Project Plan'!$G$7:$G$206)+((A230&gt;='Project Plan'!$F$7:$F$206)*(A230&lt;'Project Plan'!$G$7:$G$206)*(A230-'Project Plan'!$F$7:$F$206+1)/('Project Plan'!$G$7:$G$206-'Project Plan'!$F$7:$F$206+1))))/SUMPRODUCT(--('Project Plan'!$A$7:$A$206&lt;&gt;""),('Project Plan'!$P$7:$P$206+('Project Plan'!$P$7:$P$206=""))),0))</x:f>
      </x:c>
      <x:c r="C230" s="162" t="str">
        <x:f>IF(A230="","",IF(A230&gt;$F$2,"",IF(A230=$F$2,$H$2,IFERROR(LOOKUP(2,1/(($G$7:$G$106&lt;&gt;"")*($G$7:$G$106&lt;=A230)),$H$7:$H$106),""))))</x:f>
      </x:c>
      <x:c r="D230" s="162" t="str">
        <x:f>IF(C230="","",C230-B230)</x:f>
      </x:c>
      <x:c r="E230" s="163" t="str">
        <x:f>IF(D230="","",IF(D230&gt;=0,"On / Ahead",IF(D230&gt;=-0.05,"Watch","Behind")))</x:f>
      </x:c>
      <x:c r="J230"/>
      <x:c r="K230"/>
      <x:c r="L230"/>
      <x:c r="M230" t="str">
        <x:f>IF(A230="","",TEXT(A230,"mmm d"))</x:f>
      </x:c>
      <x:c r="N230" s="14" t="e">
        <x:f>IF(B230="",NA(),B230)</x:f>
        <x:v>#N/A</x:v>
      </x:c>
      <x:c r="O230" s="14" t="e">
        <x:f>IF(OR(P230="",$B$2="",$F$2="",P230&lt;$B$2,P230&gt;$F$2),NA(),IF(Q230=0,IF($F$2=$B$2,$H$2,MAX(0,MIN(1,$H$2*(3*MAX(0,MIN(1,(P230-$B$2)/($F$2-$B$2)))^2-2*MAX(0,MIN(1,(P230-$B$2)/($F$2-$B$2)))^3)))),MAX(0,MIN(1,T230+(V230-T230)*(3*W230^2-2*W230^3)))))</x:f>
        <x:v>#N/A</x:v>
      </x:c>
      <x:c r="P230" s="189" t="str">
        <x:f>A230</x:f>
      </x:c>
      <x:c r="Q230" t="n">
        <x:f>COUNT($G$7:$G$106)</x:f>
        <x:v>0</x:v>
      </x:c>
      <x:c r="R230" t="str">
        <x:f>IF(OR(P230="",$B$2="",$F$2="",P230&lt;$B$2,P230&gt;$F$2),"",IF(Q230=0,0,IF(P230&lt;$G$7,0,IF(P230&gt;=INDEX($G$7:$G$106,Q230),Q230,MATCH(P230,$G$7:$G$106,1)))))</x:f>
      </x:c>
      <x:c r="S230" t="str">
        <x:f>IF(R230="","",IF(R230=0,$B$2,INDEX($G$7:$G$106,R230)))</x:f>
      </x:c>
      <x:c r="T230" s="14" t="str">
        <x:f>IF(R230="","",IF(R230=0,0,INDEX($H$7:$H$106,R230)))</x:f>
      </x:c>
      <x:c r="U230" t="str">
        <x:f>IF(R230="","",IF(Q230=0,$F$2,IF(R230=0,$G$7,IF(R230&lt;Q230,INDEX($G$7:$G$106,R230+1),$F$2))))</x:f>
      </x:c>
      <x:c r="V230" s="14" t="str">
        <x:f>IF(R230="","",IF(Q230=0,$H$2,IF(R230=0,$H$7,IF(R230&lt;Q230,INDEX($H$7:$H$106,R230+1),$H$2))))</x:f>
      </x:c>
      <x:c r="W230" s="188" t="str">
        <x:f>IF(R230="","",IF(U230=S230,1,MAX(0,MIN(1,(P230-S230)/(U230-S230)))))</x:f>
      </x:c>
    </x:row>
    <x:row r="231">
      <x:c r="A231" s="159" t="str">
        <x:f>IF(OR(A230="",A230&gt;=$D$2),"",A230+1)</x:f>
      </x:c>
      <x:c r="B231" s="162" t="str">
        <x:f>IF(A231="","",IFERROR(SUMPRODUCT(--('Project Plan'!$A$7:$A$206&lt;&gt;""),('Project Plan'!$P$7:$P$206+('Project Plan'!$P$7:$P$206="")),--('Project Plan'!$F$7:$F$206&lt;&gt;""),--('Project Plan'!$G$7:$G$206&lt;&gt;""),((A231&gt;='Project Plan'!$G$7:$G$206)+((A231&gt;='Project Plan'!$F$7:$F$206)*(A231&lt;'Project Plan'!$G$7:$G$206)*(A231-'Project Plan'!$F$7:$F$206+1)/('Project Plan'!$G$7:$G$206-'Project Plan'!$F$7:$F$206+1))))/SUMPRODUCT(--('Project Plan'!$A$7:$A$206&lt;&gt;""),('Project Plan'!$P$7:$P$206+('Project Plan'!$P$7:$P$206=""))),0))</x:f>
      </x:c>
      <x:c r="C231" s="162" t="str">
        <x:f>IF(A231="","",IF(A231&gt;$F$2,"",IF(A231=$F$2,$H$2,IFERROR(LOOKUP(2,1/(($G$7:$G$106&lt;&gt;"")*($G$7:$G$106&lt;=A231)),$H$7:$H$106),""))))</x:f>
      </x:c>
      <x:c r="D231" s="162" t="str">
        <x:f>IF(C231="","",C231-B231)</x:f>
      </x:c>
      <x:c r="E231" s="163" t="str">
        <x:f>IF(D231="","",IF(D231&gt;=0,"On / Ahead",IF(D231&gt;=-0.05,"Watch","Behind")))</x:f>
      </x:c>
      <x:c r="J231"/>
      <x:c r="K231"/>
      <x:c r="L231"/>
      <x:c r="M231" t="str">
        <x:f>IF(A231="","",TEXT(A231,"mmm d"))</x:f>
      </x:c>
      <x:c r="N231" s="14" t="e">
        <x:f>IF(B231="",NA(),B231)</x:f>
        <x:v>#N/A</x:v>
      </x:c>
      <x:c r="O231" s="14" t="e">
        <x:f>IF(OR(P231="",$B$2="",$F$2="",P231&lt;$B$2,P231&gt;$F$2),NA(),IF(Q231=0,IF($F$2=$B$2,$H$2,MAX(0,MIN(1,$H$2*(3*MAX(0,MIN(1,(P231-$B$2)/($F$2-$B$2)))^2-2*MAX(0,MIN(1,(P231-$B$2)/($F$2-$B$2)))^3)))),MAX(0,MIN(1,T231+(V231-T231)*(3*W231^2-2*W231^3)))))</x:f>
        <x:v>#N/A</x:v>
      </x:c>
      <x:c r="P231" s="189" t="str">
        <x:f>A231</x:f>
      </x:c>
      <x:c r="Q231" t="n">
        <x:f>COUNT($G$7:$G$106)</x:f>
        <x:v>0</x:v>
      </x:c>
      <x:c r="R231" t="str">
        <x:f>IF(OR(P231="",$B$2="",$F$2="",P231&lt;$B$2,P231&gt;$F$2),"",IF(Q231=0,0,IF(P231&lt;$G$7,0,IF(P231&gt;=INDEX($G$7:$G$106,Q231),Q231,MATCH(P231,$G$7:$G$106,1)))))</x:f>
      </x:c>
      <x:c r="S231" t="str">
        <x:f>IF(R231="","",IF(R231=0,$B$2,INDEX($G$7:$G$106,R231)))</x:f>
      </x:c>
      <x:c r="T231" s="14" t="str">
        <x:f>IF(R231="","",IF(R231=0,0,INDEX($H$7:$H$106,R231)))</x:f>
      </x:c>
      <x:c r="U231" t="str">
        <x:f>IF(R231="","",IF(Q231=0,$F$2,IF(R231=0,$G$7,IF(R231&lt;Q231,INDEX($G$7:$G$106,R231+1),$F$2))))</x:f>
      </x:c>
      <x:c r="V231" s="14" t="str">
        <x:f>IF(R231="","",IF(Q231=0,$H$2,IF(R231=0,$H$7,IF(R231&lt;Q231,INDEX($H$7:$H$106,R231+1),$H$2))))</x:f>
      </x:c>
      <x:c r="W231" s="188" t="str">
        <x:f>IF(R231="","",IF(U231=S231,1,MAX(0,MIN(1,(P231-S231)/(U231-S231)))))</x:f>
      </x:c>
    </x:row>
    <x:row r="232">
      <x:c r="A232" s="159" t="str">
        <x:f>IF(OR(A231="",A231&gt;=$D$2),"",A231+1)</x:f>
      </x:c>
      <x:c r="B232" s="162" t="str">
        <x:f>IF(A232="","",IFERROR(SUMPRODUCT(--('Project Plan'!$A$7:$A$206&lt;&gt;""),('Project Plan'!$P$7:$P$206+('Project Plan'!$P$7:$P$206="")),--('Project Plan'!$F$7:$F$206&lt;&gt;""),--('Project Plan'!$G$7:$G$206&lt;&gt;""),((A232&gt;='Project Plan'!$G$7:$G$206)+((A232&gt;='Project Plan'!$F$7:$F$206)*(A232&lt;'Project Plan'!$G$7:$G$206)*(A232-'Project Plan'!$F$7:$F$206+1)/('Project Plan'!$G$7:$G$206-'Project Plan'!$F$7:$F$206+1))))/SUMPRODUCT(--('Project Plan'!$A$7:$A$206&lt;&gt;""),('Project Plan'!$P$7:$P$206+('Project Plan'!$P$7:$P$206=""))),0))</x:f>
      </x:c>
      <x:c r="C232" s="162" t="str">
        <x:f>IF(A232="","",IF(A232&gt;$F$2,"",IF(A232=$F$2,$H$2,IFERROR(LOOKUP(2,1/(($G$7:$G$106&lt;&gt;"")*($G$7:$G$106&lt;=A232)),$H$7:$H$106),""))))</x:f>
      </x:c>
      <x:c r="D232" s="162" t="str">
        <x:f>IF(C232="","",C232-B232)</x:f>
      </x:c>
      <x:c r="E232" s="163" t="str">
        <x:f>IF(D232="","",IF(D232&gt;=0,"On / Ahead",IF(D232&gt;=-0.05,"Watch","Behind")))</x:f>
      </x:c>
      <x:c r="J232"/>
      <x:c r="K232"/>
      <x:c r="L232"/>
      <x:c r="M232" t="str">
        <x:f>IF(A232="","",TEXT(A232,"mmm d"))</x:f>
      </x:c>
      <x:c r="N232" s="14" t="e">
        <x:f>IF(B232="",NA(),B232)</x:f>
        <x:v>#N/A</x:v>
      </x:c>
      <x:c r="O232" s="14" t="e">
        <x:f>IF(OR(P232="",$B$2="",$F$2="",P232&lt;$B$2,P232&gt;$F$2),NA(),IF(Q232=0,IF($F$2=$B$2,$H$2,MAX(0,MIN(1,$H$2*(3*MAX(0,MIN(1,(P232-$B$2)/($F$2-$B$2)))^2-2*MAX(0,MIN(1,(P232-$B$2)/($F$2-$B$2)))^3)))),MAX(0,MIN(1,T232+(V232-T232)*(3*W232^2-2*W232^3)))))</x:f>
        <x:v>#N/A</x:v>
      </x:c>
      <x:c r="P232" s="189" t="str">
        <x:f>A232</x:f>
      </x:c>
      <x:c r="Q232" t="n">
        <x:f>COUNT($G$7:$G$106)</x:f>
        <x:v>0</x:v>
      </x:c>
      <x:c r="R232" t="str">
        <x:f>IF(OR(P232="",$B$2="",$F$2="",P232&lt;$B$2,P232&gt;$F$2),"",IF(Q232=0,0,IF(P232&lt;$G$7,0,IF(P232&gt;=INDEX($G$7:$G$106,Q232),Q232,MATCH(P232,$G$7:$G$106,1)))))</x:f>
      </x:c>
      <x:c r="S232" t="str">
        <x:f>IF(R232="","",IF(R232=0,$B$2,INDEX($G$7:$G$106,R232)))</x:f>
      </x:c>
      <x:c r="T232" s="14" t="str">
        <x:f>IF(R232="","",IF(R232=0,0,INDEX($H$7:$H$106,R232)))</x:f>
      </x:c>
      <x:c r="U232" t="str">
        <x:f>IF(R232="","",IF(Q232=0,$F$2,IF(R232=0,$G$7,IF(R232&lt;Q232,INDEX($G$7:$G$106,R232+1),$F$2))))</x:f>
      </x:c>
      <x:c r="V232" s="14" t="str">
        <x:f>IF(R232="","",IF(Q232=0,$H$2,IF(R232=0,$H$7,IF(R232&lt;Q232,INDEX($H$7:$H$106,R232+1),$H$2))))</x:f>
      </x:c>
      <x:c r="W232" s="188" t="str">
        <x:f>IF(R232="","",IF(U232=S232,1,MAX(0,MIN(1,(P232-S232)/(U232-S232)))))</x:f>
      </x:c>
    </x:row>
    <x:row r="233">
      <x:c r="A233" s="159" t="str">
        <x:f>IF(OR(A232="",A232&gt;=$D$2),"",A232+1)</x:f>
      </x:c>
      <x:c r="B233" s="162" t="str">
        <x:f>IF(A233="","",IFERROR(SUMPRODUCT(--('Project Plan'!$A$7:$A$206&lt;&gt;""),('Project Plan'!$P$7:$P$206+('Project Plan'!$P$7:$P$206="")),--('Project Plan'!$F$7:$F$206&lt;&gt;""),--('Project Plan'!$G$7:$G$206&lt;&gt;""),((A233&gt;='Project Plan'!$G$7:$G$206)+((A233&gt;='Project Plan'!$F$7:$F$206)*(A233&lt;'Project Plan'!$G$7:$G$206)*(A233-'Project Plan'!$F$7:$F$206+1)/('Project Plan'!$G$7:$G$206-'Project Plan'!$F$7:$F$206+1))))/SUMPRODUCT(--('Project Plan'!$A$7:$A$206&lt;&gt;""),('Project Plan'!$P$7:$P$206+('Project Plan'!$P$7:$P$206=""))),0))</x:f>
      </x:c>
      <x:c r="C233" s="162" t="str">
        <x:f>IF(A233="","",IF(A233&gt;$F$2,"",IF(A233=$F$2,$H$2,IFERROR(LOOKUP(2,1/(($G$7:$G$106&lt;&gt;"")*($G$7:$G$106&lt;=A233)),$H$7:$H$106),""))))</x:f>
      </x:c>
      <x:c r="D233" s="162" t="str">
        <x:f>IF(C233="","",C233-B233)</x:f>
      </x:c>
      <x:c r="E233" s="163" t="str">
        <x:f>IF(D233="","",IF(D233&gt;=0,"On / Ahead",IF(D233&gt;=-0.05,"Watch","Behind")))</x:f>
      </x:c>
      <x:c r="J233"/>
      <x:c r="K233"/>
      <x:c r="L233"/>
      <x:c r="M233" t="str">
        <x:f>IF(A233="","",TEXT(A233,"mmm d"))</x:f>
      </x:c>
      <x:c r="N233" s="14" t="e">
        <x:f>IF(B233="",NA(),B233)</x:f>
        <x:v>#N/A</x:v>
      </x:c>
      <x:c r="O233" s="14" t="e">
        <x:f>IF(OR(P233="",$B$2="",$F$2="",P233&lt;$B$2,P233&gt;$F$2),NA(),IF(Q233=0,IF($F$2=$B$2,$H$2,MAX(0,MIN(1,$H$2*(3*MAX(0,MIN(1,(P233-$B$2)/($F$2-$B$2)))^2-2*MAX(0,MIN(1,(P233-$B$2)/($F$2-$B$2)))^3)))),MAX(0,MIN(1,T233+(V233-T233)*(3*W233^2-2*W233^3)))))</x:f>
        <x:v>#N/A</x:v>
      </x:c>
      <x:c r="P233" s="189" t="str">
        <x:f>A233</x:f>
      </x:c>
      <x:c r="Q233" t="n">
        <x:f>COUNT($G$7:$G$106)</x:f>
        <x:v>0</x:v>
      </x:c>
      <x:c r="R233" t="str">
        <x:f>IF(OR(P233="",$B$2="",$F$2="",P233&lt;$B$2,P233&gt;$F$2),"",IF(Q233=0,0,IF(P233&lt;$G$7,0,IF(P233&gt;=INDEX($G$7:$G$106,Q233),Q233,MATCH(P233,$G$7:$G$106,1)))))</x:f>
      </x:c>
      <x:c r="S233" t="str">
        <x:f>IF(R233="","",IF(R233=0,$B$2,INDEX($G$7:$G$106,R233)))</x:f>
      </x:c>
      <x:c r="T233" s="14" t="str">
        <x:f>IF(R233="","",IF(R233=0,0,INDEX($H$7:$H$106,R233)))</x:f>
      </x:c>
      <x:c r="U233" t="str">
        <x:f>IF(R233="","",IF(Q233=0,$F$2,IF(R233=0,$G$7,IF(R233&lt;Q233,INDEX($G$7:$G$106,R233+1),$F$2))))</x:f>
      </x:c>
      <x:c r="V233" s="14" t="str">
        <x:f>IF(R233="","",IF(Q233=0,$H$2,IF(R233=0,$H$7,IF(R233&lt;Q233,INDEX($H$7:$H$106,R233+1),$H$2))))</x:f>
      </x:c>
      <x:c r="W233" s="188" t="str">
        <x:f>IF(R233="","",IF(U233=S233,1,MAX(0,MIN(1,(P233-S233)/(U233-S233)))))</x:f>
      </x:c>
    </x:row>
    <x:row r="234">
      <x:c r="A234" s="159" t="str">
        <x:f>IF(OR(A233="",A233&gt;=$D$2),"",A233+1)</x:f>
      </x:c>
      <x:c r="B234" s="162" t="str">
        <x:f>IF(A234="","",IFERROR(SUMPRODUCT(--('Project Plan'!$A$7:$A$206&lt;&gt;""),('Project Plan'!$P$7:$P$206+('Project Plan'!$P$7:$P$206="")),--('Project Plan'!$F$7:$F$206&lt;&gt;""),--('Project Plan'!$G$7:$G$206&lt;&gt;""),((A234&gt;='Project Plan'!$G$7:$G$206)+((A234&gt;='Project Plan'!$F$7:$F$206)*(A234&lt;'Project Plan'!$G$7:$G$206)*(A234-'Project Plan'!$F$7:$F$206+1)/('Project Plan'!$G$7:$G$206-'Project Plan'!$F$7:$F$206+1))))/SUMPRODUCT(--('Project Plan'!$A$7:$A$206&lt;&gt;""),('Project Plan'!$P$7:$P$206+('Project Plan'!$P$7:$P$206=""))),0))</x:f>
      </x:c>
      <x:c r="C234" s="162" t="str">
        <x:f>IF(A234="","",IF(A234&gt;$F$2,"",IF(A234=$F$2,$H$2,IFERROR(LOOKUP(2,1/(($G$7:$G$106&lt;&gt;"")*($G$7:$G$106&lt;=A234)),$H$7:$H$106),""))))</x:f>
      </x:c>
      <x:c r="D234" s="162" t="str">
        <x:f>IF(C234="","",C234-B234)</x:f>
      </x:c>
      <x:c r="E234" s="163" t="str">
        <x:f>IF(D234="","",IF(D234&gt;=0,"On / Ahead",IF(D234&gt;=-0.05,"Watch","Behind")))</x:f>
      </x:c>
      <x:c r="J234"/>
      <x:c r="K234"/>
      <x:c r="L234"/>
      <x:c r="M234" t="str">
        <x:f>IF(A234="","",TEXT(A234,"mmm d"))</x:f>
      </x:c>
      <x:c r="N234" s="14" t="e">
        <x:f>IF(B234="",NA(),B234)</x:f>
        <x:v>#N/A</x:v>
      </x:c>
      <x:c r="O234" s="14" t="e">
        <x:f>IF(OR(P234="",$B$2="",$F$2="",P234&lt;$B$2,P234&gt;$F$2),NA(),IF(Q234=0,IF($F$2=$B$2,$H$2,MAX(0,MIN(1,$H$2*(3*MAX(0,MIN(1,(P234-$B$2)/($F$2-$B$2)))^2-2*MAX(0,MIN(1,(P234-$B$2)/($F$2-$B$2)))^3)))),MAX(0,MIN(1,T234+(V234-T234)*(3*W234^2-2*W234^3)))))</x:f>
        <x:v>#N/A</x:v>
      </x:c>
      <x:c r="P234" s="189" t="str">
        <x:f>A234</x:f>
      </x:c>
      <x:c r="Q234" t="n">
        <x:f>COUNT($G$7:$G$106)</x:f>
        <x:v>0</x:v>
      </x:c>
      <x:c r="R234" t="str">
        <x:f>IF(OR(P234="",$B$2="",$F$2="",P234&lt;$B$2,P234&gt;$F$2),"",IF(Q234=0,0,IF(P234&lt;$G$7,0,IF(P234&gt;=INDEX($G$7:$G$106,Q234),Q234,MATCH(P234,$G$7:$G$106,1)))))</x:f>
      </x:c>
      <x:c r="S234" t="str">
        <x:f>IF(R234="","",IF(R234=0,$B$2,INDEX($G$7:$G$106,R234)))</x:f>
      </x:c>
      <x:c r="T234" s="14" t="str">
        <x:f>IF(R234="","",IF(R234=0,0,INDEX($H$7:$H$106,R234)))</x:f>
      </x:c>
      <x:c r="U234" t="str">
        <x:f>IF(R234="","",IF(Q234=0,$F$2,IF(R234=0,$G$7,IF(R234&lt;Q234,INDEX($G$7:$G$106,R234+1),$F$2))))</x:f>
      </x:c>
      <x:c r="V234" s="14" t="str">
        <x:f>IF(R234="","",IF(Q234=0,$H$2,IF(R234=0,$H$7,IF(R234&lt;Q234,INDEX($H$7:$H$106,R234+1),$H$2))))</x:f>
      </x:c>
      <x:c r="W234" s="188" t="str">
        <x:f>IF(R234="","",IF(U234=S234,1,MAX(0,MIN(1,(P234-S234)/(U234-S234)))))</x:f>
      </x:c>
    </x:row>
    <x:row r="235">
      <x:c r="A235" s="159" t="str">
        <x:f>IF(OR(A234="",A234&gt;=$D$2),"",A234+1)</x:f>
      </x:c>
      <x:c r="B235" s="162" t="str">
        <x:f>IF(A235="","",IFERROR(SUMPRODUCT(--('Project Plan'!$A$7:$A$206&lt;&gt;""),('Project Plan'!$P$7:$P$206+('Project Plan'!$P$7:$P$206="")),--('Project Plan'!$F$7:$F$206&lt;&gt;""),--('Project Plan'!$G$7:$G$206&lt;&gt;""),((A235&gt;='Project Plan'!$G$7:$G$206)+((A235&gt;='Project Plan'!$F$7:$F$206)*(A235&lt;'Project Plan'!$G$7:$G$206)*(A235-'Project Plan'!$F$7:$F$206+1)/('Project Plan'!$G$7:$G$206-'Project Plan'!$F$7:$F$206+1))))/SUMPRODUCT(--('Project Plan'!$A$7:$A$206&lt;&gt;""),('Project Plan'!$P$7:$P$206+('Project Plan'!$P$7:$P$206=""))),0))</x:f>
      </x:c>
      <x:c r="C235" s="162" t="str">
        <x:f>IF(A235="","",IF(A235&gt;$F$2,"",IF(A235=$F$2,$H$2,IFERROR(LOOKUP(2,1/(($G$7:$G$106&lt;&gt;"")*($G$7:$G$106&lt;=A235)),$H$7:$H$106),""))))</x:f>
      </x:c>
      <x:c r="D235" s="162" t="str">
        <x:f>IF(C235="","",C235-B235)</x:f>
      </x:c>
      <x:c r="E235" s="163" t="str">
        <x:f>IF(D235="","",IF(D235&gt;=0,"On / Ahead",IF(D235&gt;=-0.05,"Watch","Behind")))</x:f>
      </x:c>
      <x:c r="J235"/>
      <x:c r="K235"/>
      <x:c r="L235"/>
      <x:c r="M235" t="str">
        <x:f>IF(A235="","",TEXT(A235,"mmm d"))</x:f>
      </x:c>
      <x:c r="N235" s="14" t="e">
        <x:f>IF(B235="",NA(),B235)</x:f>
        <x:v>#N/A</x:v>
      </x:c>
      <x:c r="O235" s="14" t="e">
        <x:f>IF(OR(P235="",$B$2="",$F$2="",P235&lt;$B$2,P235&gt;$F$2),NA(),IF(Q235=0,IF($F$2=$B$2,$H$2,MAX(0,MIN(1,$H$2*(3*MAX(0,MIN(1,(P235-$B$2)/($F$2-$B$2)))^2-2*MAX(0,MIN(1,(P235-$B$2)/($F$2-$B$2)))^3)))),MAX(0,MIN(1,T235+(V235-T235)*(3*W235^2-2*W235^3)))))</x:f>
        <x:v>#N/A</x:v>
      </x:c>
      <x:c r="P235" s="189" t="str">
        <x:f>A235</x:f>
      </x:c>
      <x:c r="Q235" t="n">
        <x:f>COUNT($G$7:$G$106)</x:f>
        <x:v>0</x:v>
      </x:c>
      <x:c r="R235" t="str">
        <x:f>IF(OR(P235="",$B$2="",$F$2="",P235&lt;$B$2,P235&gt;$F$2),"",IF(Q235=0,0,IF(P235&lt;$G$7,0,IF(P235&gt;=INDEX($G$7:$G$106,Q235),Q235,MATCH(P235,$G$7:$G$106,1)))))</x:f>
      </x:c>
      <x:c r="S235" t="str">
        <x:f>IF(R235="","",IF(R235=0,$B$2,INDEX($G$7:$G$106,R235)))</x:f>
      </x:c>
      <x:c r="T235" s="14" t="str">
        <x:f>IF(R235="","",IF(R235=0,0,INDEX($H$7:$H$106,R235)))</x:f>
      </x:c>
      <x:c r="U235" t="str">
        <x:f>IF(R235="","",IF(Q235=0,$F$2,IF(R235=0,$G$7,IF(R235&lt;Q235,INDEX($G$7:$G$106,R235+1),$F$2))))</x:f>
      </x:c>
      <x:c r="V235" s="14" t="str">
        <x:f>IF(R235="","",IF(Q235=0,$H$2,IF(R235=0,$H$7,IF(R235&lt;Q235,INDEX($H$7:$H$106,R235+1),$H$2))))</x:f>
      </x:c>
      <x:c r="W235" s="188" t="str">
        <x:f>IF(R235="","",IF(U235=S235,1,MAX(0,MIN(1,(P235-S235)/(U235-S235)))))</x:f>
      </x:c>
    </x:row>
    <x:row r="236">
      <x:c r="A236" s="159" t="str">
        <x:f>IF(OR(A235="",A235&gt;=$D$2),"",A235+1)</x:f>
      </x:c>
      <x:c r="B236" s="162" t="str">
        <x:f>IF(A236="","",IFERROR(SUMPRODUCT(--('Project Plan'!$A$7:$A$206&lt;&gt;""),('Project Plan'!$P$7:$P$206+('Project Plan'!$P$7:$P$206="")),--('Project Plan'!$F$7:$F$206&lt;&gt;""),--('Project Plan'!$G$7:$G$206&lt;&gt;""),((A236&gt;='Project Plan'!$G$7:$G$206)+((A236&gt;='Project Plan'!$F$7:$F$206)*(A236&lt;'Project Plan'!$G$7:$G$206)*(A236-'Project Plan'!$F$7:$F$206+1)/('Project Plan'!$G$7:$G$206-'Project Plan'!$F$7:$F$206+1))))/SUMPRODUCT(--('Project Plan'!$A$7:$A$206&lt;&gt;""),('Project Plan'!$P$7:$P$206+('Project Plan'!$P$7:$P$206=""))),0))</x:f>
      </x:c>
      <x:c r="C236" s="162" t="str">
        <x:f>IF(A236="","",IF(A236&gt;$F$2,"",IF(A236=$F$2,$H$2,IFERROR(LOOKUP(2,1/(($G$7:$G$106&lt;&gt;"")*($G$7:$G$106&lt;=A236)),$H$7:$H$106),""))))</x:f>
      </x:c>
      <x:c r="D236" s="162" t="str">
        <x:f>IF(C236="","",C236-B236)</x:f>
      </x:c>
      <x:c r="E236" s="163" t="str">
        <x:f>IF(D236="","",IF(D236&gt;=0,"On / Ahead",IF(D236&gt;=-0.05,"Watch","Behind")))</x:f>
      </x:c>
      <x:c r="J236"/>
      <x:c r="K236"/>
      <x:c r="L236"/>
      <x:c r="M236" t="str">
        <x:f>IF(A236="","",TEXT(A236,"mmm d"))</x:f>
      </x:c>
      <x:c r="N236" s="14" t="e">
        <x:f>IF(B236="",NA(),B236)</x:f>
        <x:v>#N/A</x:v>
      </x:c>
      <x:c r="O236" s="14" t="e">
        <x:f>IF(OR(P236="",$B$2="",$F$2="",P236&lt;$B$2,P236&gt;$F$2),NA(),IF(Q236=0,IF($F$2=$B$2,$H$2,MAX(0,MIN(1,$H$2*(3*MAX(0,MIN(1,(P236-$B$2)/($F$2-$B$2)))^2-2*MAX(0,MIN(1,(P236-$B$2)/($F$2-$B$2)))^3)))),MAX(0,MIN(1,T236+(V236-T236)*(3*W236^2-2*W236^3)))))</x:f>
        <x:v>#N/A</x:v>
      </x:c>
      <x:c r="P236" s="189" t="str">
        <x:f>A236</x:f>
      </x:c>
      <x:c r="Q236" t="n">
        <x:f>COUNT($G$7:$G$106)</x:f>
        <x:v>0</x:v>
      </x:c>
      <x:c r="R236" t="str">
        <x:f>IF(OR(P236="",$B$2="",$F$2="",P236&lt;$B$2,P236&gt;$F$2),"",IF(Q236=0,0,IF(P236&lt;$G$7,0,IF(P236&gt;=INDEX($G$7:$G$106,Q236),Q236,MATCH(P236,$G$7:$G$106,1)))))</x:f>
      </x:c>
      <x:c r="S236" t="str">
        <x:f>IF(R236="","",IF(R236=0,$B$2,INDEX($G$7:$G$106,R236)))</x:f>
      </x:c>
      <x:c r="T236" s="14" t="str">
        <x:f>IF(R236="","",IF(R236=0,0,INDEX($H$7:$H$106,R236)))</x:f>
      </x:c>
      <x:c r="U236" t="str">
        <x:f>IF(R236="","",IF(Q236=0,$F$2,IF(R236=0,$G$7,IF(R236&lt;Q236,INDEX($G$7:$G$106,R236+1),$F$2))))</x:f>
      </x:c>
      <x:c r="V236" s="14" t="str">
        <x:f>IF(R236="","",IF(Q236=0,$H$2,IF(R236=0,$H$7,IF(R236&lt;Q236,INDEX($H$7:$H$106,R236+1),$H$2))))</x:f>
      </x:c>
      <x:c r="W236" s="188" t="str">
        <x:f>IF(R236="","",IF(U236=S236,1,MAX(0,MIN(1,(P236-S236)/(U236-S236)))))</x:f>
      </x:c>
    </x:row>
    <x:row r="237">
      <x:c r="A237" s="159" t="str">
        <x:f>IF(OR(A236="",A236&gt;=$D$2),"",A236+1)</x:f>
      </x:c>
      <x:c r="B237" s="162" t="str">
        <x:f>IF(A237="","",IFERROR(SUMPRODUCT(--('Project Plan'!$A$7:$A$206&lt;&gt;""),('Project Plan'!$P$7:$P$206+('Project Plan'!$P$7:$P$206="")),--('Project Plan'!$F$7:$F$206&lt;&gt;""),--('Project Plan'!$G$7:$G$206&lt;&gt;""),((A237&gt;='Project Plan'!$G$7:$G$206)+((A237&gt;='Project Plan'!$F$7:$F$206)*(A237&lt;'Project Plan'!$G$7:$G$206)*(A237-'Project Plan'!$F$7:$F$206+1)/('Project Plan'!$G$7:$G$206-'Project Plan'!$F$7:$F$206+1))))/SUMPRODUCT(--('Project Plan'!$A$7:$A$206&lt;&gt;""),('Project Plan'!$P$7:$P$206+('Project Plan'!$P$7:$P$206=""))),0))</x:f>
      </x:c>
      <x:c r="C237" s="162" t="str">
        <x:f>IF(A237="","",IF(A237&gt;$F$2,"",IF(A237=$F$2,$H$2,IFERROR(LOOKUP(2,1/(($G$7:$G$106&lt;&gt;"")*($G$7:$G$106&lt;=A237)),$H$7:$H$106),""))))</x:f>
      </x:c>
      <x:c r="D237" s="162" t="str">
        <x:f>IF(C237="","",C237-B237)</x:f>
      </x:c>
      <x:c r="E237" s="163" t="str">
        <x:f>IF(D237="","",IF(D237&gt;=0,"On / Ahead",IF(D237&gt;=-0.05,"Watch","Behind")))</x:f>
      </x:c>
      <x:c r="J237"/>
      <x:c r="K237"/>
      <x:c r="L237"/>
      <x:c r="M237" t="str">
        <x:f>IF(A237="","",TEXT(A237,"mmm d"))</x:f>
      </x:c>
      <x:c r="N237" s="14" t="e">
        <x:f>IF(B237="",NA(),B237)</x:f>
        <x:v>#N/A</x:v>
      </x:c>
      <x:c r="O237" s="14" t="e">
        <x:f>IF(OR(P237="",$B$2="",$F$2="",P237&lt;$B$2,P237&gt;$F$2),NA(),IF(Q237=0,IF($F$2=$B$2,$H$2,MAX(0,MIN(1,$H$2*(3*MAX(0,MIN(1,(P237-$B$2)/($F$2-$B$2)))^2-2*MAX(0,MIN(1,(P237-$B$2)/($F$2-$B$2)))^3)))),MAX(0,MIN(1,T237+(V237-T237)*(3*W237^2-2*W237^3)))))</x:f>
        <x:v>#N/A</x:v>
      </x:c>
      <x:c r="P237" s="189" t="str">
        <x:f>A237</x:f>
      </x:c>
      <x:c r="Q237" t="n">
        <x:f>COUNT($G$7:$G$106)</x:f>
        <x:v>0</x:v>
      </x:c>
      <x:c r="R237" t="str">
        <x:f>IF(OR(P237="",$B$2="",$F$2="",P237&lt;$B$2,P237&gt;$F$2),"",IF(Q237=0,0,IF(P237&lt;$G$7,0,IF(P237&gt;=INDEX($G$7:$G$106,Q237),Q237,MATCH(P237,$G$7:$G$106,1)))))</x:f>
      </x:c>
      <x:c r="S237" t="str">
        <x:f>IF(R237="","",IF(R237=0,$B$2,INDEX($G$7:$G$106,R237)))</x:f>
      </x:c>
      <x:c r="T237" s="14" t="str">
        <x:f>IF(R237="","",IF(R237=0,0,INDEX($H$7:$H$106,R237)))</x:f>
      </x:c>
      <x:c r="U237" t="str">
        <x:f>IF(R237="","",IF(Q237=0,$F$2,IF(R237=0,$G$7,IF(R237&lt;Q237,INDEX($G$7:$G$106,R237+1),$F$2))))</x:f>
      </x:c>
      <x:c r="V237" s="14" t="str">
        <x:f>IF(R237="","",IF(Q237=0,$H$2,IF(R237=0,$H$7,IF(R237&lt;Q237,INDEX($H$7:$H$106,R237+1),$H$2))))</x:f>
      </x:c>
      <x:c r="W237" s="188" t="str">
        <x:f>IF(R237="","",IF(U237=S237,1,MAX(0,MIN(1,(P237-S237)/(U237-S237)))))</x:f>
      </x:c>
    </x:row>
    <x:row r="238">
      <x:c r="A238" s="159" t="str">
        <x:f>IF(OR(A237="",A237&gt;=$D$2),"",A237+1)</x:f>
      </x:c>
      <x:c r="B238" s="162" t="str">
        <x:f>IF(A238="","",IFERROR(SUMPRODUCT(--('Project Plan'!$A$7:$A$206&lt;&gt;""),('Project Plan'!$P$7:$P$206+('Project Plan'!$P$7:$P$206="")),--('Project Plan'!$F$7:$F$206&lt;&gt;""),--('Project Plan'!$G$7:$G$206&lt;&gt;""),((A238&gt;='Project Plan'!$G$7:$G$206)+((A238&gt;='Project Plan'!$F$7:$F$206)*(A238&lt;'Project Plan'!$G$7:$G$206)*(A238-'Project Plan'!$F$7:$F$206+1)/('Project Plan'!$G$7:$G$206-'Project Plan'!$F$7:$F$206+1))))/SUMPRODUCT(--('Project Plan'!$A$7:$A$206&lt;&gt;""),('Project Plan'!$P$7:$P$206+('Project Plan'!$P$7:$P$206=""))),0))</x:f>
      </x:c>
      <x:c r="C238" s="162" t="str">
        <x:f>IF(A238="","",IF(A238&gt;$F$2,"",IF(A238=$F$2,$H$2,IFERROR(LOOKUP(2,1/(($G$7:$G$106&lt;&gt;"")*($G$7:$G$106&lt;=A238)),$H$7:$H$106),""))))</x:f>
      </x:c>
      <x:c r="D238" s="162" t="str">
        <x:f>IF(C238="","",C238-B238)</x:f>
      </x:c>
      <x:c r="E238" s="163" t="str">
        <x:f>IF(D238="","",IF(D238&gt;=0,"On / Ahead",IF(D238&gt;=-0.05,"Watch","Behind")))</x:f>
      </x:c>
      <x:c r="J238"/>
      <x:c r="K238"/>
      <x:c r="L238"/>
      <x:c r="M238" t="str">
        <x:f>IF(A238="","",TEXT(A238,"mmm d"))</x:f>
      </x:c>
      <x:c r="N238" s="14" t="e">
        <x:f>IF(B238="",NA(),B238)</x:f>
        <x:v>#N/A</x:v>
      </x:c>
      <x:c r="O238" s="14" t="e">
        <x:f>IF(OR(P238="",$B$2="",$F$2="",P238&lt;$B$2,P238&gt;$F$2),NA(),IF(Q238=0,IF($F$2=$B$2,$H$2,MAX(0,MIN(1,$H$2*(3*MAX(0,MIN(1,(P238-$B$2)/($F$2-$B$2)))^2-2*MAX(0,MIN(1,(P238-$B$2)/($F$2-$B$2)))^3)))),MAX(0,MIN(1,T238+(V238-T238)*(3*W238^2-2*W238^3)))))</x:f>
        <x:v>#N/A</x:v>
      </x:c>
      <x:c r="P238" s="189" t="str">
        <x:f>A238</x:f>
      </x:c>
      <x:c r="Q238" t="n">
        <x:f>COUNT($G$7:$G$106)</x:f>
        <x:v>0</x:v>
      </x:c>
      <x:c r="R238" t="str">
        <x:f>IF(OR(P238="",$B$2="",$F$2="",P238&lt;$B$2,P238&gt;$F$2),"",IF(Q238=0,0,IF(P238&lt;$G$7,0,IF(P238&gt;=INDEX($G$7:$G$106,Q238),Q238,MATCH(P238,$G$7:$G$106,1)))))</x:f>
      </x:c>
      <x:c r="S238" t="str">
        <x:f>IF(R238="","",IF(R238=0,$B$2,INDEX($G$7:$G$106,R238)))</x:f>
      </x:c>
      <x:c r="T238" s="14" t="str">
        <x:f>IF(R238="","",IF(R238=0,0,INDEX($H$7:$H$106,R238)))</x:f>
      </x:c>
      <x:c r="U238" t="str">
        <x:f>IF(R238="","",IF(Q238=0,$F$2,IF(R238=0,$G$7,IF(R238&lt;Q238,INDEX($G$7:$G$106,R238+1),$F$2))))</x:f>
      </x:c>
      <x:c r="V238" s="14" t="str">
        <x:f>IF(R238="","",IF(Q238=0,$H$2,IF(R238=0,$H$7,IF(R238&lt;Q238,INDEX($H$7:$H$106,R238+1),$H$2))))</x:f>
      </x:c>
      <x:c r="W238" s="188" t="str">
        <x:f>IF(R238="","",IF(U238=S238,1,MAX(0,MIN(1,(P238-S238)/(U238-S238)))))</x:f>
      </x:c>
    </x:row>
    <x:row r="239">
      <x:c r="A239" s="159" t="str">
        <x:f>IF(OR(A238="",A238&gt;=$D$2),"",A238+1)</x:f>
      </x:c>
      <x:c r="B239" s="162" t="str">
        <x:f>IF(A239="","",IFERROR(SUMPRODUCT(--('Project Plan'!$A$7:$A$206&lt;&gt;""),('Project Plan'!$P$7:$P$206+('Project Plan'!$P$7:$P$206="")),--('Project Plan'!$F$7:$F$206&lt;&gt;""),--('Project Plan'!$G$7:$G$206&lt;&gt;""),((A239&gt;='Project Plan'!$G$7:$G$206)+((A239&gt;='Project Plan'!$F$7:$F$206)*(A239&lt;'Project Plan'!$G$7:$G$206)*(A239-'Project Plan'!$F$7:$F$206+1)/('Project Plan'!$G$7:$G$206-'Project Plan'!$F$7:$F$206+1))))/SUMPRODUCT(--('Project Plan'!$A$7:$A$206&lt;&gt;""),('Project Plan'!$P$7:$P$206+('Project Plan'!$P$7:$P$206=""))),0))</x:f>
      </x:c>
      <x:c r="C239" s="162" t="str">
        <x:f>IF(A239="","",IF(A239&gt;$F$2,"",IF(A239=$F$2,$H$2,IFERROR(LOOKUP(2,1/(($G$7:$G$106&lt;&gt;"")*($G$7:$G$106&lt;=A239)),$H$7:$H$106),""))))</x:f>
      </x:c>
      <x:c r="D239" s="162" t="str">
        <x:f>IF(C239="","",C239-B239)</x:f>
      </x:c>
      <x:c r="E239" s="163" t="str">
        <x:f>IF(D239="","",IF(D239&gt;=0,"On / Ahead",IF(D239&gt;=-0.05,"Watch","Behind")))</x:f>
      </x:c>
      <x:c r="J239"/>
      <x:c r="K239"/>
      <x:c r="L239"/>
      <x:c r="M239" t="str">
        <x:f>IF(A239="","",TEXT(A239,"mmm d"))</x:f>
      </x:c>
      <x:c r="N239" s="14" t="e">
        <x:f>IF(B239="",NA(),B239)</x:f>
        <x:v>#N/A</x:v>
      </x:c>
      <x:c r="O239" s="14" t="e">
        <x:f>IF(OR(P239="",$B$2="",$F$2="",P239&lt;$B$2,P239&gt;$F$2),NA(),IF(Q239=0,IF($F$2=$B$2,$H$2,MAX(0,MIN(1,$H$2*(3*MAX(0,MIN(1,(P239-$B$2)/($F$2-$B$2)))^2-2*MAX(0,MIN(1,(P239-$B$2)/($F$2-$B$2)))^3)))),MAX(0,MIN(1,T239+(V239-T239)*(3*W239^2-2*W239^3)))))</x:f>
        <x:v>#N/A</x:v>
      </x:c>
      <x:c r="P239" s="189" t="str">
        <x:f>A239</x:f>
      </x:c>
      <x:c r="Q239" t="n">
        <x:f>COUNT($G$7:$G$106)</x:f>
        <x:v>0</x:v>
      </x:c>
      <x:c r="R239" t="str">
        <x:f>IF(OR(P239="",$B$2="",$F$2="",P239&lt;$B$2,P239&gt;$F$2),"",IF(Q239=0,0,IF(P239&lt;$G$7,0,IF(P239&gt;=INDEX($G$7:$G$106,Q239),Q239,MATCH(P239,$G$7:$G$106,1)))))</x:f>
      </x:c>
      <x:c r="S239" t="str">
        <x:f>IF(R239="","",IF(R239=0,$B$2,INDEX($G$7:$G$106,R239)))</x:f>
      </x:c>
      <x:c r="T239" s="14" t="str">
        <x:f>IF(R239="","",IF(R239=0,0,INDEX($H$7:$H$106,R239)))</x:f>
      </x:c>
      <x:c r="U239" t="str">
        <x:f>IF(R239="","",IF(Q239=0,$F$2,IF(R239=0,$G$7,IF(R239&lt;Q239,INDEX($G$7:$G$106,R239+1),$F$2))))</x:f>
      </x:c>
      <x:c r="V239" s="14" t="str">
        <x:f>IF(R239="","",IF(Q239=0,$H$2,IF(R239=0,$H$7,IF(R239&lt;Q239,INDEX($H$7:$H$106,R239+1),$H$2))))</x:f>
      </x:c>
      <x:c r="W239" s="188" t="str">
        <x:f>IF(R239="","",IF(U239=S239,1,MAX(0,MIN(1,(P239-S239)/(U239-S239)))))</x:f>
      </x:c>
    </x:row>
    <x:row r="240">
      <x:c r="A240" s="159" t="str">
        <x:f>IF(OR(A239="",A239&gt;=$D$2),"",A239+1)</x:f>
      </x:c>
      <x:c r="B240" s="162" t="str">
        <x:f>IF(A240="","",IFERROR(SUMPRODUCT(--('Project Plan'!$A$7:$A$206&lt;&gt;""),('Project Plan'!$P$7:$P$206+('Project Plan'!$P$7:$P$206="")),--('Project Plan'!$F$7:$F$206&lt;&gt;""),--('Project Plan'!$G$7:$G$206&lt;&gt;""),((A240&gt;='Project Plan'!$G$7:$G$206)+((A240&gt;='Project Plan'!$F$7:$F$206)*(A240&lt;'Project Plan'!$G$7:$G$206)*(A240-'Project Plan'!$F$7:$F$206+1)/('Project Plan'!$G$7:$G$206-'Project Plan'!$F$7:$F$206+1))))/SUMPRODUCT(--('Project Plan'!$A$7:$A$206&lt;&gt;""),('Project Plan'!$P$7:$P$206+('Project Plan'!$P$7:$P$206=""))),0))</x:f>
      </x:c>
      <x:c r="C240" s="162" t="str">
        <x:f>IF(A240="","",IF(A240&gt;$F$2,"",IF(A240=$F$2,$H$2,IFERROR(LOOKUP(2,1/(($G$7:$G$106&lt;&gt;"")*($G$7:$G$106&lt;=A240)),$H$7:$H$106),""))))</x:f>
      </x:c>
      <x:c r="D240" s="162" t="str">
        <x:f>IF(C240="","",C240-B240)</x:f>
      </x:c>
      <x:c r="E240" s="163" t="str">
        <x:f>IF(D240="","",IF(D240&gt;=0,"On / Ahead",IF(D240&gt;=-0.05,"Watch","Behind")))</x:f>
      </x:c>
      <x:c r="J240"/>
      <x:c r="K240"/>
      <x:c r="L240"/>
      <x:c r="M240" t="str">
        <x:f>IF(A240="","",TEXT(A240,"mmm d"))</x:f>
      </x:c>
      <x:c r="N240" s="14" t="e">
        <x:f>IF(B240="",NA(),B240)</x:f>
        <x:v>#N/A</x:v>
      </x:c>
      <x:c r="O240" s="14" t="e">
        <x:f>IF(OR(P240="",$B$2="",$F$2="",P240&lt;$B$2,P240&gt;$F$2),NA(),IF(Q240=0,IF($F$2=$B$2,$H$2,MAX(0,MIN(1,$H$2*(3*MAX(0,MIN(1,(P240-$B$2)/($F$2-$B$2)))^2-2*MAX(0,MIN(1,(P240-$B$2)/($F$2-$B$2)))^3)))),MAX(0,MIN(1,T240+(V240-T240)*(3*W240^2-2*W240^3)))))</x:f>
        <x:v>#N/A</x:v>
      </x:c>
      <x:c r="P240" s="189" t="str">
        <x:f>A240</x:f>
      </x:c>
      <x:c r="Q240" t="n">
        <x:f>COUNT($G$7:$G$106)</x:f>
        <x:v>0</x:v>
      </x:c>
      <x:c r="R240" t="str">
        <x:f>IF(OR(P240="",$B$2="",$F$2="",P240&lt;$B$2,P240&gt;$F$2),"",IF(Q240=0,0,IF(P240&lt;$G$7,0,IF(P240&gt;=INDEX($G$7:$G$106,Q240),Q240,MATCH(P240,$G$7:$G$106,1)))))</x:f>
      </x:c>
      <x:c r="S240" t="str">
        <x:f>IF(R240="","",IF(R240=0,$B$2,INDEX($G$7:$G$106,R240)))</x:f>
      </x:c>
      <x:c r="T240" s="14" t="str">
        <x:f>IF(R240="","",IF(R240=0,0,INDEX($H$7:$H$106,R240)))</x:f>
      </x:c>
      <x:c r="U240" t="str">
        <x:f>IF(R240="","",IF(Q240=0,$F$2,IF(R240=0,$G$7,IF(R240&lt;Q240,INDEX($G$7:$G$106,R240+1),$F$2))))</x:f>
      </x:c>
      <x:c r="V240" s="14" t="str">
        <x:f>IF(R240="","",IF(Q240=0,$H$2,IF(R240=0,$H$7,IF(R240&lt;Q240,INDEX($H$7:$H$106,R240+1),$H$2))))</x:f>
      </x:c>
      <x:c r="W240" s="188" t="str">
        <x:f>IF(R240="","",IF(U240=S240,1,MAX(0,MIN(1,(P240-S240)/(U240-S240)))))</x:f>
      </x:c>
    </x:row>
    <x:row r="241">
      <x:c r="A241" s="159" t="str">
        <x:f>IF(OR(A240="",A240&gt;=$D$2),"",A240+1)</x:f>
      </x:c>
      <x:c r="B241" s="162" t="str">
        <x:f>IF(A241="","",IFERROR(SUMPRODUCT(--('Project Plan'!$A$7:$A$206&lt;&gt;""),('Project Plan'!$P$7:$P$206+('Project Plan'!$P$7:$P$206="")),--('Project Plan'!$F$7:$F$206&lt;&gt;""),--('Project Plan'!$G$7:$G$206&lt;&gt;""),((A241&gt;='Project Plan'!$G$7:$G$206)+((A241&gt;='Project Plan'!$F$7:$F$206)*(A241&lt;'Project Plan'!$G$7:$G$206)*(A241-'Project Plan'!$F$7:$F$206+1)/('Project Plan'!$G$7:$G$206-'Project Plan'!$F$7:$F$206+1))))/SUMPRODUCT(--('Project Plan'!$A$7:$A$206&lt;&gt;""),('Project Plan'!$P$7:$P$206+('Project Plan'!$P$7:$P$206=""))),0))</x:f>
      </x:c>
      <x:c r="C241" s="162" t="str">
        <x:f>IF(A241="","",IF(A241&gt;$F$2,"",IF(A241=$F$2,$H$2,IFERROR(LOOKUP(2,1/(($G$7:$G$106&lt;&gt;"")*($G$7:$G$106&lt;=A241)),$H$7:$H$106),""))))</x:f>
      </x:c>
      <x:c r="D241" s="162" t="str">
        <x:f>IF(C241="","",C241-B241)</x:f>
      </x:c>
      <x:c r="E241" s="163" t="str">
        <x:f>IF(D241="","",IF(D241&gt;=0,"On / Ahead",IF(D241&gt;=-0.05,"Watch","Behind")))</x:f>
      </x:c>
      <x:c r="J241"/>
      <x:c r="K241"/>
      <x:c r="L241"/>
      <x:c r="M241" t="str">
        <x:f>IF(A241="","",TEXT(A241,"mmm d"))</x:f>
      </x:c>
      <x:c r="N241" s="14" t="e">
        <x:f>IF(B241="",NA(),B241)</x:f>
        <x:v>#N/A</x:v>
      </x:c>
      <x:c r="O241" s="14" t="e">
        <x:f>IF(OR(P241="",$B$2="",$F$2="",P241&lt;$B$2,P241&gt;$F$2),NA(),IF(Q241=0,IF($F$2=$B$2,$H$2,MAX(0,MIN(1,$H$2*(3*MAX(0,MIN(1,(P241-$B$2)/($F$2-$B$2)))^2-2*MAX(0,MIN(1,(P241-$B$2)/($F$2-$B$2)))^3)))),MAX(0,MIN(1,T241+(V241-T241)*(3*W241^2-2*W241^3)))))</x:f>
        <x:v>#N/A</x:v>
      </x:c>
      <x:c r="P241" s="189" t="str">
        <x:f>A241</x:f>
      </x:c>
      <x:c r="Q241" t="n">
        <x:f>COUNT($G$7:$G$106)</x:f>
        <x:v>0</x:v>
      </x:c>
      <x:c r="R241" t="str">
        <x:f>IF(OR(P241="",$B$2="",$F$2="",P241&lt;$B$2,P241&gt;$F$2),"",IF(Q241=0,0,IF(P241&lt;$G$7,0,IF(P241&gt;=INDEX($G$7:$G$106,Q241),Q241,MATCH(P241,$G$7:$G$106,1)))))</x:f>
      </x:c>
      <x:c r="S241" t="str">
        <x:f>IF(R241="","",IF(R241=0,$B$2,INDEX($G$7:$G$106,R241)))</x:f>
      </x:c>
      <x:c r="T241" s="14" t="str">
        <x:f>IF(R241="","",IF(R241=0,0,INDEX($H$7:$H$106,R241)))</x:f>
      </x:c>
      <x:c r="U241" t="str">
        <x:f>IF(R241="","",IF(Q241=0,$F$2,IF(R241=0,$G$7,IF(R241&lt;Q241,INDEX($G$7:$G$106,R241+1),$F$2))))</x:f>
      </x:c>
      <x:c r="V241" s="14" t="str">
        <x:f>IF(R241="","",IF(Q241=0,$H$2,IF(R241=0,$H$7,IF(R241&lt;Q241,INDEX($H$7:$H$106,R241+1),$H$2))))</x:f>
      </x:c>
      <x:c r="W241" s="188" t="str">
        <x:f>IF(R241="","",IF(U241=S241,1,MAX(0,MIN(1,(P241-S241)/(U241-S241)))))</x:f>
      </x:c>
    </x:row>
    <x:row r="242">
      <x:c r="A242" s="159" t="str">
        <x:f>IF(OR(A241="",A241&gt;=$D$2),"",A241+1)</x:f>
      </x:c>
      <x:c r="B242" s="162" t="str">
        <x:f>IF(A242="","",IFERROR(SUMPRODUCT(--('Project Plan'!$A$7:$A$206&lt;&gt;""),('Project Plan'!$P$7:$P$206+('Project Plan'!$P$7:$P$206="")),--('Project Plan'!$F$7:$F$206&lt;&gt;""),--('Project Plan'!$G$7:$G$206&lt;&gt;""),((A242&gt;='Project Plan'!$G$7:$G$206)+((A242&gt;='Project Plan'!$F$7:$F$206)*(A242&lt;'Project Plan'!$G$7:$G$206)*(A242-'Project Plan'!$F$7:$F$206+1)/('Project Plan'!$G$7:$G$206-'Project Plan'!$F$7:$F$206+1))))/SUMPRODUCT(--('Project Plan'!$A$7:$A$206&lt;&gt;""),('Project Plan'!$P$7:$P$206+('Project Plan'!$P$7:$P$206=""))),0))</x:f>
      </x:c>
      <x:c r="C242" s="162" t="str">
        <x:f>IF(A242="","",IF(A242&gt;$F$2,"",IF(A242=$F$2,$H$2,IFERROR(LOOKUP(2,1/(($G$7:$G$106&lt;&gt;"")*($G$7:$G$106&lt;=A242)),$H$7:$H$106),""))))</x:f>
      </x:c>
      <x:c r="D242" s="162" t="str">
        <x:f>IF(C242="","",C242-B242)</x:f>
      </x:c>
      <x:c r="E242" s="163" t="str">
        <x:f>IF(D242="","",IF(D242&gt;=0,"On / Ahead",IF(D242&gt;=-0.05,"Watch","Behind")))</x:f>
      </x:c>
      <x:c r="J242"/>
      <x:c r="K242"/>
      <x:c r="L242"/>
      <x:c r="M242" t="str">
        <x:f>IF(A242="","",TEXT(A242,"mmm d"))</x:f>
      </x:c>
      <x:c r="N242" s="14" t="e">
        <x:f>IF(B242="",NA(),B242)</x:f>
        <x:v>#N/A</x:v>
      </x:c>
      <x:c r="O242" s="14" t="e">
        <x:f>IF(OR(P242="",$B$2="",$F$2="",P242&lt;$B$2,P242&gt;$F$2),NA(),IF(Q242=0,IF($F$2=$B$2,$H$2,MAX(0,MIN(1,$H$2*(3*MAX(0,MIN(1,(P242-$B$2)/($F$2-$B$2)))^2-2*MAX(0,MIN(1,(P242-$B$2)/($F$2-$B$2)))^3)))),MAX(0,MIN(1,T242+(V242-T242)*(3*W242^2-2*W242^3)))))</x:f>
        <x:v>#N/A</x:v>
      </x:c>
      <x:c r="P242" s="189" t="str">
        <x:f>A242</x:f>
      </x:c>
      <x:c r="Q242" t="n">
        <x:f>COUNT($G$7:$G$106)</x:f>
        <x:v>0</x:v>
      </x:c>
      <x:c r="R242" t="str">
        <x:f>IF(OR(P242="",$B$2="",$F$2="",P242&lt;$B$2,P242&gt;$F$2),"",IF(Q242=0,0,IF(P242&lt;$G$7,0,IF(P242&gt;=INDEX($G$7:$G$106,Q242),Q242,MATCH(P242,$G$7:$G$106,1)))))</x:f>
      </x:c>
      <x:c r="S242" t="str">
        <x:f>IF(R242="","",IF(R242=0,$B$2,INDEX($G$7:$G$106,R242)))</x:f>
      </x:c>
      <x:c r="T242" s="14" t="str">
        <x:f>IF(R242="","",IF(R242=0,0,INDEX($H$7:$H$106,R242)))</x:f>
      </x:c>
      <x:c r="U242" t="str">
        <x:f>IF(R242="","",IF(Q242=0,$F$2,IF(R242=0,$G$7,IF(R242&lt;Q242,INDEX($G$7:$G$106,R242+1),$F$2))))</x:f>
      </x:c>
      <x:c r="V242" s="14" t="str">
        <x:f>IF(R242="","",IF(Q242=0,$H$2,IF(R242=0,$H$7,IF(R242&lt;Q242,INDEX($H$7:$H$106,R242+1),$H$2))))</x:f>
      </x:c>
      <x:c r="W242" s="188" t="str">
        <x:f>IF(R242="","",IF(U242=S242,1,MAX(0,MIN(1,(P242-S242)/(U242-S242)))))</x:f>
      </x:c>
    </x:row>
    <x:row r="243">
      <x:c r="A243" s="159" t="str">
        <x:f>IF(OR(A242="",A242&gt;=$D$2),"",A242+1)</x:f>
      </x:c>
      <x:c r="B243" s="162" t="str">
        <x:f>IF(A243="","",IFERROR(SUMPRODUCT(--('Project Plan'!$A$7:$A$206&lt;&gt;""),('Project Plan'!$P$7:$P$206+('Project Plan'!$P$7:$P$206="")),--('Project Plan'!$F$7:$F$206&lt;&gt;""),--('Project Plan'!$G$7:$G$206&lt;&gt;""),((A243&gt;='Project Plan'!$G$7:$G$206)+((A243&gt;='Project Plan'!$F$7:$F$206)*(A243&lt;'Project Plan'!$G$7:$G$206)*(A243-'Project Plan'!$F$7:$F$206+1)/('Project Plan'!$G$7:$G$206-'Project Plan'!$F$7:$F$206+1))))/SUMPRODUCT(--('Project Plan'!$A$7:$A$206&lt;&gt;""),('Project Plan'!$P$7:$P$206+('Project Plan'!$P$7:$P$206=""))),0))</x:f>
      </x:c>
      <x:c r="C243" s="162" t="str">
        <x:f>IF(A243="","",IF(A243&gt;$F$2,"",IF(A243=$F$2,$H$2,IFERROR(LOOKUP(2,1/(($G$7:$G$106&lt;&gt;"")*($G$7:$G$106&lt;=A243)),$H$7:$H$106),""))))</x:f>
      </x:c>
      <x:c r="D243" s="162" t="str">
        <x:f>IF(C243="","",C243-B243)</x:f>
      </x:c>
      <x:c r="E243" s="163" t="str">
        <x:f>IF(D243="","",IF(D243&gt;=0,"On / Ahead",IF(D243&gt;=-0.05,"Watch","Behind")))</x:f>
      </x:c>
      <x:c r="J243"/>
      <x:c r="K243"/>
      <x:c r="L243"/>
      <x:c r="M243" t="str">
        <x:f>IF(A243="","",TEXT(A243,"mmm d"))</x:f>
      </x:c>
      <x:c r="N243" s="14" t="e">
        <x:f>IF(B243="",NA(),B243)</x:f>
        <x:v>#N/A</x:v>
      </x:c>
      <x:c r="O243" s="14" t="e">
        <x:f>IF(OR(P243="",$B$2="",$F$2="",P243&lt;$B$2,P243&gt;$F$2),NA(),IF(Q243=0,IF($F$2=$B$2,$H$2,MAX(0,MIN(1,$H$2*(3*MAX(0,MIN(1,(P243-$B$2)/($F$2-$B$2)))^2-2*MAX(0,MIN(1,(P243-$B$2)/($F$2-$B$2)))^3)))),MAX(0,MIN(1,T243+(V243-T243)*(3*W243^2-2*W243^3)))))</x:f>
        <x:v>#N/A</x:v>
      </x:c>
      <x:c r="P243" s="189" t="str">
        <x:f>A243</x:f>
      </x:c>
      <x:c r="Q243" t="n">
        <x:f>COUNT($G$7:$G$106)</x:f>
        <x:v>0</x:v>
      </x:c>
      <x:c r="R243" t="str">
        <x:f>IF(OR(P243="",$B$2="",$F$2="",P243&lt;$B$2,P243&gt;$F$2),"",IF(Q243=0,0,IF(P243&lt;$G$7,0,IF(P243&gt;=INDEX($G$7:$G$106,Q243),Q243,MATCH(P243,$G$7:$G$106,1)))))</x:f>
      </x:c>
      <x:c r="S243" t="str">
        <x:f>IF(R243="","",IF(R243=0,$B$2,INDEX($G$7:$G$106,R243)))</x:f>
      </x:c>
      <x:c r="T243" s="14" t="str">
        <x:f>IF(R243="","",IF(R243=0,0,INDEX($H$7:$H$106,R243)))</x:f>
      </x:c>
      <x:c r="U243" t="str">
        <x:f>IF(R243="","",IF(Q243=0,$F$2,IF(R243=0,$G$7,IF(R243&lt;Q243,INDEX($G$7:$G$106,R243+1),$F$2))))</x:f>
      </x:c>
      <x:c r="V243" s="14" t="str">
        <x:f>IF(R243="","",IF(Q243=0,$H$2,IF(R243=0,$H$7,IF(R243&lt;Q243,INDEX($H$7:$H$106,R243+1),$H$2))))</x:f>
      </x:c>
      <x:c r="W243" s="188" t="str">
        <x:f>IF(R243="","",IF(U243=S243,1,MAX(0,MIN(1,(P243-S243)/(U243-S243)))))</x:f>
      </x:c>
    </x:row>
    <x:row r="244">
      <x:c r="A244" s="159" t="str">
        <x:f>IF(OR(A243="",A243&gt;=$D$2),"",A243+1)</x:f>
      </x:c>
      <x:c r="B244" s="162" t="str">
        <x:f>IF(A244="","",IFERROR(SUMPRODUCT(--('Project Plan'!$A$7:$A$206&lt;&gt;""),('Project Plan'!$P$7:$P$206+('Project Plan'!$P$7:$P$206="")),--('Project Plan'!$F$7:$F$206&lt;&gt;""),--('Project Plan'!$G$7:$G$206&lt;&gt;""),((A244&gt;='Project Plan'!$G$7:$G$206)+((A244&gt;='Project Plan'!$F$7:$F$206)*(A244&lt;'Project Plan'!$G$7:$G$206)*(A244-'Project Plan'!$F$7:$F$206+1)/('Project Plan'!$G$7:$G$206-'Project Plan'!$F$7:$F$206+1))))/SUMPRODUCT(--('Project Plan'!$A$7:$A$206&lt;&gt;""),('Project Plan'!$P$7:$P$206+('Project Plan'!$P$7:$P$206=""))),0))</x:f>
      </x:c>
      <x:c r="C244" s="162" t="str">
        <x:f>IF(A244="","",IF(A244&gt;$F$2,"",IF(A244=$F$2,$H$2,IFERROR(LOOKUP(2,1/(($G$7:$G$106&lt;&gt;"")*($G$7:$G$106&lt;=A244)),$H$7:$H$106),""))))</x:f>
      </x:c>
      <x:c r="D244" s="162" t="str">
        <x:f>IF(C244="","",C244-B244)</x:f>
      </x:c>
      <x:c r="E244" s="163" t="str">
        <x:f>IF(D244="","",IF(D244&gt;=0,"On / Ahead",IF(D244&gt;=-0.05,"Watch","Behind")))</x:f>
      </x:c>
      <x:c r="J244"/>
      <x:c r="K244"/>
      <x:c r="L244"/>
      <x:c r="M244" t="str">
        <x:f>IF(A244="","",TEXT(A244,"mmm d"))</x:f>
      </x:c>
      <x:c r="N244" s="14" t="e">
        <x:f>IF(B244="",NA(),B244)</x:f>
        <x:v>#N/A</x:v>
      </x:c>
      <x:c r="O244" s="14" t="e">
        <x:f>IF(OR(P244="",$B$2="",$F$2="",P244&lt;$B$2,P244&gt;$F$2),NA(),IF(Q244=0,IF($F$2=$B$2,$H$2,MAX(0,MIN(1,$H$2*(3*MAX(0,MIN(1,(P244-$B$2)/($F$2-$B$2)))^2-2*MAX(0,MIN(1,(P244-$B$2)/($F$2-$B$2)))^3)))),MAX(0,MIN(1,T244+(V244-T244)*(3*W244^2-2*W244^3)))))</x:f>
        <x:v>#N/A</x:v>
      </x:c>
      <x:c r="P244" s="189" t="str">
        <x:f>A244</x:f>
      </x:c>
      <x:c r="Q244" t="n">
        <x:f>COUNT($G$7:$G$106)</x:f>
        <x:v>0</x:v>
      </x:c>
      <x:c r="R244" t="str">
        <x:f>IF(OR(P244="",$B$2="",$F$2="",P244&lt;$B$2,P244&gt;$F$2),"",IF(Q244=0,0,IF(P244&lt;$G$7,0,IF(P244&gt;=INDEX($G$7:$G$106,Q244),Q244,MATCH(P244,$G$7:$G$106,1)))))</x:f>
      </x:c>
      <x:c r="S244" t="str">
        <x:f>IF(R244="","",IF(R244=0,$B$2,INDEX($G$7:$G$106,R244)))</x:f>
      </x:c>
      <x:c r="T244" s="14" t="str">
        <x:f>IF(R244="","",IF(R244=0,0,INDEX($H$7:$H$106,R244)))</x:f>
      </x:c>
      <x:c r="U244" t="str">
        <x:f>IF(R244="","",IF(Q244=0,$F$2,IF(R244=0,$G$7,IF(R244&lt;Q244,INDEX($G$7:$G$106,R244+1),$F$2))))</x:f>
      </x:c>
      <x:c r="V244" s="14" t="str">
        <x:f>IF(R244="","",IF(Q244=0,$H$2,IF(R244=0,$H$7,IF(R244&lt;Q244,INDEX($H$7:$H$106,R244+1),$H$2))))</x:f>
      </x:c>
      <x:c r="W244" s="188" t="str">
        <x:f>IF(R244="","",IF(U244=S244,1,MAX(0,MIN(1,(P244-S244)/(U244-S244)))))</x:f>
      </x:c>
    </x:row>
    <x:row r="245">
      <x:c r="A245" s="159" t="str">
        <x:f>IF(OR(A244="",A244&gt;=$D$2),"",A244+1)</x:f>
      </x:c>
      <x:c r="B245" s="162" t="str">
        <x:f>IF(A245="","",IFERROR(SUMPRODUCT(--('Project Plan'!$A$7:$A$206&lt;&gt;""),('Project Plan'!$P$7:$P$206+('Project Plan'!$P$7:$P$206="")),--('Project Plan'!$F$7:$F$206&lt;&gt;""),--('Project Plan'!$G$7:$G$206&lt;&gt;""),((A245&gt;='Project Plan'!$G$7:$G$206)+((A245&gt;='Project Plan'!$F$7:$F$206)*(A245&lt;'Project Plan'!$G$7:$G$206)*(A245-'Project Plan'!$F$7:$F$206+1)/('Project Plan'!$G$7:$G$206-'Project Plan'!$F$7:$F$206+1))))/SUMPRODUCT(--('Project Plan'!$A$7:$A$206&lt;&gt;""),('Project Plan'!$P$7:$P$206+('Project Plan'!$P$7:$P$206=""))),0))</x:f>
      </x:c>
      <x:c r="C245" s="162" t="str">
        <x:f>IF(A245="","",IF(A245&gt;$F$2,"",IF(A245=$F$2,$H$2,IFERROR(LOOKUP(2,1/(($G$7:$G$106&lt;&gt;"")*($G$7:$G$106&lt;=A245)),$H$7:$H$106),""))))</x:f>
      </x:c>
      <x:c r="D245" s="162" t="str">
        <x:f>IF(C245="","",C245-B245)</x:f>
      </x:c>
      <x:c r="E245" s="163" t="str">
        <x:f>IF(D245="","",IF(D245&gt;=0,"On / Ahead",IF(D245&gt;=-0.05,"Watch","Behind")))</x:f>
      </x:c>
      <x:c r="J245"/>
      <x:c r="K245"/>
      <x:c r="L245"/>
      <x:c r="M245" t="str">
        <x:f>IF(A245="","",TEXT(A245,"mmm d"))</x:f>
      </x:c>
      <x:c r="N245" s="14" t="e">
        <x:f>IF(B245="",NA(),B245)</x:f>
        <x:v>#N/A</x:v>
      </x:c>
      <x:c r="O245" s="14" t="e">
        <x:f>IF(OR(P245="",$B$2="",$F$2="",P245&lt;$B$2,P245&gt;$F$2),NA(),IF(Q245=0,IF($F$2=$B$2,$H$2,MAX(0,MIN(1,$H$2*(3*MAX(0,MIN(1,(P245-$B$2)/($F$2-$B$2)))^2-2*MAX(0,MIN(1,(P245-$B$2)/($F$2-$B$2)))^3)))),MAX(0,MIN(1,T245+(V245-T245)*(3*W245^2-2*W245^3)))))</x:f>
        <x:v>#N/A</x:v>
      </x:c>
      <x:c r="P245" s="189" t="str">
        <x:f>A245</x:f>
      </x:c>
      <x:c r="Q245" t="n">
        <x:f>COUNT($G$7:$G$106)</x:f>
        <x:v>0</x:v>
      </x:c>
      <x:c r="R245" t="str">
        <x:f>IF(OR(P245="",$B$2="",$F$2="",P245&lt;$B$2,P245&gt;$F$2),"",IF(Q245=0,0,IF(P245&lt;$G$7,0,IF(P245&gt;=INDEX($G$7:$G$106,Q245),Q245,MATCH(P245,$G$7:$G$106,1)))))</x:f>
      </x:c>
      <x:c r="S245" t="str">
        <x:f>IF(R245="","",IF(R245=0,$B$2,INDEX($G$7:$G$106,R245)))</x:f>
      </x:c>
      <x:c r="T245" s="14" t="str">
        <x:f>IF(R245="","",IF(R245=0,0,INDEX($H$7:$H$106,R245)))</x:f>
      </x:c>
      <x:c r="U245" t="str">
        <x:f>IF(R245="","",IF(Q245=0,$F$2,IF(R245=0,$G$7,IF(R245&lt;Q245,INDEX($G$7:$G$106,R245+1),$F$2))))</x:f>
      </x:c>
      <x:c r="V245" s="14" t="str">
        <x:f>IF(R245="","",IF(Q245=0,$H$2,IF(R245=0,$H$7,IF(R245&lt;Q245,INDEX($H$7:$H$106,R245+1),$H$2))))</x:f>
      </x:c>
      <x:c r="W245" s="188" t="str">
        <x:f>IF(R245="","",IF(U245=S245,1,MAX(0,MIN(1,(P245-S245)/(U245-S245)))))</x:f>
      </x:c>
    </x:row>
    <x:row r="246">
      <x:c r="A246" s="159" t="str">
        <x:f>IF(OR(A245="",A245&gt;=$D$2),"",A245+1)</x:f>
      </x:c>
      <x:c r="B246" s="162" t="str">
        <x:f>IF(A246="","",IFERROR(SUMPRODUCT(--('Project Plan'!$A$7:$A$206&lt;&gt;""),('Project Plan'!$P$7:$P$206+('Project Plan'!$P$7:$P$206="")),--('Project Plan'!$F$7:$F$206&lt;&gt;""),--('Project Plan'!$G$7:$G$206&lt;&gt;""),((A246&gt;='Project Plan'!$G$7:$G$206)+((A246&gt;='Project Plan'!$F$7:$F$206)*(A246&lt;'Project Plan'!$G$7:$G$206)*(A246-'Project Plan'!$F$7:$F$206+1)/('Project Plan'!$G$7:$G$206-'Project Plan'!$F$7:$F$206+1))))/SUMPRODUCT(--('Project Plan'!$A$7:$A$206&lt;&gt;""),('Project Plan'!$P$7:$P$206+('Project Plan'!$P$7:$P$206=""))),0))</x:f>
      </x:c>
      <x:c r="C246" s="162" t="str">
        <x:f>IF(A246="","",IF(A246&gt;$F$2,"",IF(A246=$F$2,$H$2,IFERROR(LOOKUP(2,1/(($G$7:$G$106&lt;&gt;"")*($G$7:$G$106&lt;=A246)),$H$7:$H$106),""))))</x:f>
      </x:c>
      <x:c r="D246" s="162" t="str">
        <x:f>IF(C246="","",C246-B246)</x:f>
      </x:c>
      <x:c r="E246" s="163" t="str">
        <x:f>IF(D246="","",IF(D246&gt;=0,"On / Ahead",IF(D246&gt;=-0.05,"Watch","Behind")))</x:f>
      </x:c>
      <x:c r="J246"/>
      <x:c r="K246"/>
      <x:c r="L246"/>
      <x:c r="M246" t="str">
        <x:f>IF(A246="","",TEXT(A246,"mmm d"))</x:f>
      </x:c>
      <x:c r="N246" s="14" t="e">
        <x:f>IF(B246="",NA(),B246)</x:f>
        <x:v>#N/A</x:v>
      </x:c>
      <x:c r="O246" s="14" t="e">
        <x:f>IF(OR(P246="",$B$2="",$F$2="",P246&lt;$B$2,P246&gt;$F$2),NA(),IF(Q246=0,IF($F$2=$B$2,$H$2,MAX(0,MIN(1,$H$2*(3*MAX(0,MIN(1,(P246-$B$2)/($F$2-$B$2)))^2-2*MAX(0,MIN(1,(P246-$B$2)/($F$2-$B$2)))^3)))),MAX(0,MIN(1,T246+(V246-T246)*(3*W246^2-2*W246^3)))))</x:f>
        <x:v>#N/A</x:v>
      </x:c>
      <x:c r="P246" s="189" t="str">
        <x:f>A246</x:f>
      </x:c>
      <x:c r="Q246" t="n">
        <x:f>COUNT($G$7:$G$106)</x:f>
        <x:v>0</x:v>
      </x:c>
      <x:c r="R246" t="str">
        <x:f>IF(OR(P246="",$B$2="",$F$2="",P246&lt;$B$2,P246&gt;$F$2),"",IF(Q246=0,0,IF(P246&lt;$G$7,0,IF(P246&gt;=INDEX($G$7:$G$106,Q246),Q246,MATCH(P246,$G$7:$G$106,1)))))</x:f>
      </x:c>
      <x:c r="S246" t="str">
        <x:f>IF(R246="","",IF(R246=0,$B$2,INDEX($G$7:$G$106,R246)))</x:f>
      </x:c>
      <x:c r="T246" s="14" t="str">
        <x:f>IF(R246="","",IF(R246=0,0,INDEX($H$7:$H$106,R246)))</x:f>
      </x:c>
      <x:c r="U246" t="str">
        <x:f>IF(R246="","",IF(Q246=0,$F$2,IF(R246=0,$G$7,IF(R246&lt;Q246,INDEX($G$7:$G$106,R246+1),$F$2))))</x:f>
      </x:c>
      <x:c r="V246" s="14" t="str">
        <x:f>IF(R246="","",IF(Q246=0,$H$2,IF(R246=0,$H$7,IF(R246&lt;Q246,INDEX($H$7:$H$106,R246+1),$H$2))))</x:f>
      </x:c>
      <x:c r="W246" s="188" t="str">
        <x:f>IF(R246="","",IF(U246=S246,1,MAX(0,MIN(1,(P246-S246)/(U246-S246)))))</x:f>
      </x:c>
    </x:row>
    <x:row r="247">
      <x:c r="A247" s="159" t="str">
        <x:f>IF(OR(A246="",A246&gt;=$D$2),"",A246+1)</x:f>
      </x:c>
      <x:c r="B247" s="162" t="str">
        <x:f>IF(A247="","",IFERROR(SUMPRODUCT(--('Project Plan'!$A$7:$A$206&lt;&gt;""),('Project Plan'!$P$7:$P$206+('Project Plan'!$P$7:$P$206="")),--('Project Plan'!$F$7:$F$206&lt;&gt;""),--('Project Plan'!$G$7:$G$206&lt;&gt;""),((A247&gt;='Project Plan'!$G$7:$G$206)+((A247&gt;='Project Plan'!$F$7:$F$206)*(A247&lt;'Project Plan'!$G$7:$G$206)*(A247-'Project Plan'!$F$7:$F$206+1)/('Project Plan'!$G$7:$G$206-'Project Plan'!$F$7:$F$206+1))))/SUMPRODUCT(--('Project Plan'!$A$7:$A$206&lt;&gt;""),('Project Plan'!$P$7:$P$206+('Project Plan'!$P$7:$P$206=""))),0))</x:f>
      </x:c>
      <x:c r="C247" s="162" t="str">
        <x:f>IF(A247="","",IF(A247&gt;$F$2,"",IF(A247=$F$2,$H$2,IFERROR(LOOKUP(2,1/(($G$7:$G$106&lt;&gt;"")*($G$7:$G$106&lt;=A247)),$H$7:$H$106),""))))</x:f>
      </x:c>
      <x:c r="D247" s="162" t="str">
        <x:f>IF(C247="","",C247-B247)</x:f>
      </x:c>
      <x:c r="E247" s="163" t="str">
        <x:f>IF(D247="","",IF(D247&gt;=0,"On / Ahead",IF(D247&gt;=-0.05,"Watch","Behind")))</x:f>
      </x:c>
      <x:c r="J247"/>
      <x:c r="K247"/>
      <x:c r="L247"/>
      <x:c r="M247" t="str">
        <x:f>IF(A247="","",TEXT(A247,"mmm d"))</x:f>
      </x:c>
      <x:c r="N247" s="14" t="e">
        <x:f>IF(B247="",NA(),B247)</x:f>
        <x:v>#N/A</x:v>
      </x:c>
      <x:c r="O247" s="14" t="e">
        <x:f>IF(OR(P247="",$B$2="",$F$2="",P247&lt;$B$2,P247&gt;$F$2),NA(),IF(Q247=0,IF($F$2=$B$2,$H$2,MAX(0,MIN(1,$H$2*(3*MAX(0,MIN(1,(P247-$B$2)/($F$2-$B$2)))^2-2*MAX(0,MIN(1,(P247-$B$2)/($F$2-$B$2)))^3)))),MAX(0,MIN(1,T247+(V247-T247)*(3*W247^2-2*W247^3)))))</x:f>
        <x:v>#N/A</x:v>
      </x:c>
      <x:c r="P247" s="189" t="str">
        <x:f>A247</x:f>
      </x:c>
      <x:c r="Q247" t="n">
        <x:f>COUNT($G$7:$G$106)</x:f>
        <x:v>0</x:v>
      </x:c>
      <x:c r="R247" t="str">
        <x:f>IF(OR(P247="",$B$2="",$F$2="",P247&lt;$B$2,P247&gt;$F$2),"",IF(Q247=0,0,IF(P247&lt;$G$7,0,IF(P247&gt;=INDEX($G$7:$G$106,Q247),Q247,MATCH(P247,$G$7:$G$106,1)))))</x:f>
      </x:c>
      <x:c r="S247" t="str">
        <x:f>IF(R247="","",IF(R247=0,$B$2,INDEX($G$7:$G$106,R247)))</x:f>
      </x:c>
      <x:c r="T247" s="14" t="str">
        <x:f>IF(R247="","",IF(R247=0,0,INDEX($H$7:$H$106,R247)))</x:f>
      </x:c>
      <x:c r="U247" t="str">
        <x:f>IF(R247="","",IF(Q247=0,$F$2,IF(R247=0,$G$7,IF(R247&lt;Q247,INDEX($G$7:$G$106,R247+1),$F$2))))</x:f>
      </x:c>
      <x:c r="V247" s="14" t="str">
        <x:f>IF(R247="","",IF(Q247=0,$H$2,IF(R247=0,$H$7,IF(R247&lt;Q247,INDEX($H$7:$H$106,R247+1),$H$2))))</x:f>
      </x:c>
      <x:c r="W247" s="188" t="str">
        <x:f>IF(R247="","",IF(U247=S247,1,MAX(0,MIN(1,(P247-S247)/(U247-S247)))))</x:f>
      </x:c>
    </x:row>
    <x:row r="248">
      <x:c r="A248" s="159" t="str">
        <x:f>IF(OR(A247="",A247&gt;=$D$2),"",A247+1)</x:f>
      </x:c>
      <x:c r="B248" s="162" t="str">
        <x:f>IF(A248="","",IFERROR(SUMPRODUCT(--('Project Plan'!$A$7:$A$206&lt;&gt;""),('Project Plan'!$P$7:$P$206+('Project Plan'!$P$7:$P$206="")),--('Project Plan'!$F$7:$F$206&lt;&gt;""),--('Project Plan'!$G$7:$G$206&lt;&gt;""),((A248&gt;='Project Plan'!$G$7:$G$206)+((A248&gt;='Project Plan'!$F$7:$F$206)*(A248&lt;'Project Plan'!$G$7:$G$206)*(A248-'Project Plan'!$F$7:$F$206+1)/('Project Plan'!$G$7:$G$206-'Project Plan'!$F$7:$F$206+1))))/SUMPRODUCT(--('Project Plan'!$A$7:$A$206&lt;&gt;""),('Project Plan'!$P$7:$P$206+('Project Plan'!$P$7:$P$206=""))),0))</x:f>
      </x:c>
      <x:c r="C248" s="162" t="str">
        <x:f>IF(A248="","",IF(A248&gt;$F$2,"",IF(A248=$F$2,$H$2,IFERROR(LOOKUP(2,1/(($G$7:$G$106&lt;&gt;"")*($G$7:$G$106&lt;=A248)),$H$7:$H$106),""))))</x:f>
      </x:c>
      <x:c r="D248" s="162" t="str">
        <x:f>IF(C248="","",C248-B248)</x:f>
      </x:c>
      <x:c r="E248" s="163" t="str">
        <x:f>IF(D248="","",IF(D248&gt;=0,"On / Ahead",IF(D248&gt;=-0.05,"Watch","Behind")))</x:f>
      </x:c>
      <x:c r="J248"/>
      <x:c r="K248"/>
      <x:c r="L248"/>
      <x:c r="M248" t="str">
        <x:f>IF(A248="","",TEXT(A248,"mmm d"))</x:f>
      </x:c>
      <x:c r="N248" s="14" t="e">
        <x:f>IF(B248="",NA(),B248)</x:f>
        <x:v>#N/A</x:v>
      </x:c>
      <x:c r="O248" s="14" t="e">
        <x:f>IF(OR(P248="",$B$2="",$F$2="",P248&lt;$B$2,P248&gt;$F$2),NA(),IF(Q248=0,IF($F$2=$B$2,$H$2,MAX(0,MIN(1,$H$2*(3*MAX(0,MIN(1,(P248-$B$2)/($F$2-$B$2)))^2-2*MAX(0,MIN(1,(P248-$B$2)/($F$2-$B$2)))^3)))),MAX(0,MIN(1,T248+(V248-T248)*(3*W248^2-2*W248^3)))))</x:f>
        <x:v>#N/A</x:v>
      </x:c>
      <x:c r="P248" s="189" t="str">
        <x:f>A248</x:f>
      </x:c>
      <x:c r="Q248" t="n">
        <x:f>COUNT($G$7:$G$106)</x:f>
        <x:v>0</x:v>
      </x:c>
      <x:c r="R248" t="str">
        <x:f>IF(OR(P248="",$B$2="",$F$2="",P248&lt;$B$2,P248&gt;$F$2),"",IF(Q248=0,0,IF(P248&lt;$G$7,0,IF(P248&gt;=INDEX($G$7:$G$106,Q248),Q248,MATCH(P248,$G$7:$G$106,1)))))</x:f>
      </x:c>
      <x:c r="S248" t="str">
        <x:f>IF(R248="","",IF(R248=0,$B$2,INDEX($G$7:$G$106,R248)))</x:f>
      </x:c>
      <x:c r="T248" s="14" t="str">
        <x:f>IF(R248="","",IF(R248=0,0,INDEX($H$7:$H$106,R248)))</x:f>
      </x:c>
      <x:c r="U248" t="str">
        <x:f>IF(R248="","",IF(Q248=0,$F$2,IF(R248=0,$G$7,IF(R248&lt;Q248,INDEX($G$7:$G$106,R248+1),$F$2))))</x:f>
      </x:c>
      <x:c r="V248" s="14" t="str">
        <x:f>IF(R248="","",IF(Q248=0,$H$2,IF(R248=0,$H$7,IF(R248&lt;Q248,INDEX($H$7:$H$106,R248+1),$H$2))))</x:f>
      </x:c>
      <x:c r="W248" s="188" t="str">
        <x:f>IF(R248="","",IF(U248=S248,1,MAX(0,MIN(1,(P248-S248)/(U248-S248)))))</x:f>
      </x:c>
    </x:row>
    <x:row r="249">
      <x:c r="A249" s="159" t="str">
        <x:f>IF(OR(A248="",A248&gt;=$D$2),"",A248+1)</x:f>
      </x:c>
      <x:c r="B249" s="162" t="str">
        <x:f>IF(A249="","",IFERROR(SUMPRODUCT(--('Project Plan'!$A$7:$A$206&lt;&gt;""),('Project Plan'!$P$7:$P$206+('Project Plan'!$P$7:$P$206="")),--('Project Plan'!$F$7:$F$206&lt;&gt;""),--('Project Plan'!$G$7:$G$206&lt;&gt;""),((A249&gt;='Project Plan'!$G$7:$G$206)+((A249&gt;='Project Plan'!$F$7:$F$206)*(A249&lt;'Project Plan'!$G$7:$G$206)*(A249-'Project Plan'!$F$7:$F$206+1)/('Project Plan'!$G$7:$G$206-'Project Plan'!$F$7:$F$206+1))))/SUMPRODUCT(--('Project Plan'!$A$7:$A$206&lt;&gt;""),('Project Plan'!$P$7:$P$206+('Project Plan'!$P$7:$P$206=""))),0))</x:f>
      </x:c>
      <x:c r="C249" s="162" t="str">
        <x:f>IF(A249="","",IF(A249&gt;$F$2,"",IF(A249=$F$2,$H$2,IFERROR(LOOKUP(2,1/(($G$7:$G$106&lt;&gt;"")*($G$7:$G$106&lt;=A249)),$H$7:$H$106),""))))</x:f>
      </x:c>
      <x:c r="D249" s="162" t="str">
        <x:f>IF(C249="","",C249-B249)</x:f>
      </x:c>
      <x:c r="E249" s="163" t="str">
        <x:f>IF(D249="","",IF(D249&gt;=0,"On / Ahead",IF(D249&gt;=-0.05,"Watch","Behind")))</x:f>
      </x:c>
      <x:c r="J249"/>
      <x:c r="K249"/>
      <x:c r="L249"/>
      <x:c r="M249" t="str">
        <x:f>IF(A249="","",TEXT(A249,"mmm d"))</x:f>
      </x:c>
      <x:c r="N249" s="14" t="e">
        <x:f>IF(B249="",NA(),B249)</x:f>
        <x:v>#N/A</x:v>
      </x:c>
      <x:c r="O249" s="14" t="e">
        <x:f>IF(OR(P249="",$B$2="",$F$2="",P249&lt;$B$2,P249&gt;$F$2),NA(),IF(Q249=0,IF($F$2=$B$2,$H$2,MAX(0,MIN(1,$H$2*(3*MAX(0,MIN(1,(P249-$B$2)/($F$2-$B$2)))^2-2*MAX(0,MIN(1,(P249-$B$2)/($F$2-$B$2)))^3)))),MAX(0,MIN(1,T249+(V249-T249)*(3*W249^2-2*W249^3)))))</x:f>
        <x:v>#N/A</x:v>
      </x:c>
      <x:c r="P249" s="189" t="str">
        <x:f>A249</x:f>
      </x:c>
      <x:c r="Q249" t="n">
        <x:f>COUNT($G$7:$G$106)</x:f>
        <x:v>0</x:v>
      </x:c>
      <x:c r="R249" t="str">
        <x:f>IF(OR(P249="",$B$2="",$F$2="",P249&lt;$B$2,P249&gt;$F$2),"",IF(Q249=0,0,IF(P249&lt;$G$7,0,IF(P249&gt;=INDEX($G$7:$G$106,Q249),Q249,MATCH(P249,$G$7:$G$106,1)))))</x:f>
      </x:c>
      <x:c r="S249" t="str">
        <x:f>IF(R249="","",IF(R249=0,$B$2,INDEX($G$7:$G$106,R249)))</x:f>
      </x:c>
      <x:c r="T249" s="14" t="str">
        <x:f>IF(R249="","",IF(R249=0,0,INDEX($H$7:$H$106,R249)))</x:f>
      </x:c>
      <x:c r="U249" t="str">
        <x:f>IF(R249="","",IF(Q249=0,$F$2,IF(R249=0,$G$7,IF(R249&lt;Q249,INDEX($G$7:$G$106,R249+1),$F$2))))</x:f>
      </x:c>
      <x:c r="V249" s="14" t="str">
        <x:f>IF(R249="","",IF(Q249=0,$H$2,IF(R249=0,$H$7,IF(R249&lt;Q249,INDEX($H$7:$H$106,R249+1),$H$2))))</x:f>
      </x:c>
      <x:c r="W249" s="188" t="str">
        <x:f>IF(R249="","",IF(U249=S249,1,MAX(0,MIN(1,(P249-S249)/(U249-S249)))))</x:f>
      </x:c>
    </x:row>
    <x:row r="250">
      <x:c r="A250" s="159" t="str">
        <x:f>IF(OR(A249="",A249&gt;=$D$2),"",A249+1)</x:f>
      </x:c>
      <x:c r="B250" s="162" t="str">
        <x:f>IF(A250="","",IFERROR(SUMPRODUCT(--('Project Plan'!$A$7:$A$206&lt;&gt;""),('Project Plan'!$P$7:$P$206+('Project Plan'!$P$7:$P$206="")),--('Project Plan'!$F$7:$F$206&lt;&gt;""),--('Project Plan'!$G$7:$G$206&lt;&gt;""),((A250&gt;='Project Plan'!$G$7:$G$206)+((A250&gt;='Project Plan'!$F$7:$F$206)*(A250&lt;'Project Plan'!$G$7:$G$206)*(A250-'Project Plan'!$F$7:$F$206+1)/('Project Plan'!$G$7:$G$206-'Project Plan'!$F$7:$F$206+1))))/SUMPRODUCT(--('Project Plan'!$A$7:$A$206&lt;&gt;""),('Project Plan'!$P$7:$P$206+('Project Plan'!$P$7:$P$206=""))),0))</x:f>
      </x:c>
      <x:c r="C250" s="162" t="str">
        <x:f>IF(A250="","",IF(A250&gt;$F$2,"",IF(A250=$F$2,$H$2,IFERROR(LOOKUP(2,1/(($G$7:$G$106&lt;&gt;"")*($G$7:$G$106&lt;=A250)),$H$7:$H$106),""))))</x:f>
      </x:c>
      <x:c r="D250" s="162" t="str">
        <x:f>IF(C250="","",C250-B250)</x:f>
      </x:c>
      <x:c r="E250" s="163" t="str">
        <x:f>IF(D250="","",IF(D250&gt;=0,"On / Ahead",IF(D250&gt;=-0.05,"Watch","Behind")))</x:f>
      </x:c>
      <x:c r="J250"/>
      <x:c r="K250"/>
      <x:c r="L250"/>
      <x:c r="M250" t="str">
        <x:f>IF(A250="","",TEXT(A250,"mmm d"))</x:f>
      </x:c>
      <x:c r="N250" s="14" t="e">
        <x:f>IF(B250="",NA(),B250)</x:f>
        <x:v>#N/A</x:v>
      </x:c>
      <x:c r="O250" s="14" t="e">
        <x:f>IF(OR(P250="",$B$2="",$F$2="",P250&lt;$B$2,P250&gt;$F$2),NA(),IF(Q250=0,IF($F$2=$B$2,$H$2,MAX(0,MIN(1,$H$2*(3*MAX(0,MIN(1,(P250-$B$2)/($F$2-$B$2)))^2-2*MAX(0,MIN(1,(P250-$B$2)/($F$2-$B$2)))^3)))),MAX(0,MIN(1,T250+(V250-T250)*(3*W250^2-2*W250^3)))))</x:f>
        <x:v>#N/A</x:v>
      </x:c>
      <x:c r="P250" s="189" t="str">
        <x:f>A250</x:f>
      </x:c>
      <x:c r="Q250" t="n">
        <x:f>COUNT($G$7:$G$106)</x:f>
        <x:v>0</x:v>
      </x:c>
      <x:c r="R250" t="str">
        <x:f>IF(OR(P250="",$B$2="",$F$2="",P250&lt;$B$2,P250&gt;$F$2),"",IF(Q250=0,0,IF(P250&lt;$G$7,0,IF(P250&gt;=INDEX($G$7:$G$106,Q250),Q250,MATCH(P250,$G$7:$G$106,1)))))</x:f>
      </x:c>
      <x:c r="S250" t="str">
        <x:f>IF(R250="","",IF(R250=0,$B$2,INDEX($G$7:$G$106,R250)))</x:f>
      </x:c>
      <x:c r="T250" s="14" t="str">
        <x:f>IF(R250="","",IF(R250=0,0,INDEX($H$7:$H$106,R250)))</x:f>
      </x:c>
      <x:c r="U250" t="str">
        <x:f>IF(R250="","",IF(Q250=0,$F$2,IF(R250=0,$G$7,IF(R250&lt;Q250,INDEX($G$7:$G$106,R250+1),$F$2))))</x:f>
      </x:c>
      <x:c r="V250" s="14" t="str">
        <x:f>IF(R250="","",IF(Q250=0,$H$2,IF(R250=0,$H$7,IF(R250&lt;Q250,INDEX($H$7:$H$106,R250+1),$H$2))))</x:f>
      </x:c>
      <x:c r="W250" s="188" t="str">
        <x:f>IF(R250="","",IF(U250=S250,1,MAX(0,MIN(1,(P250-S250)/(U250-S250)))))</x:f>
      </x:c>
    </x:row>
    <x:row r="251">
      <x:c r="A251" s="159" t="str">
        <x:f>IF(OR(A250="",A250&gt;=$D$2),"",A250+1)</x:f>
      </x:c>
      <x:c r="B251" s="162" t="str">
        <x:f>IF(A251="","",IFERROR(SUMPRODUCT(--('Project Plan'!$A$7:$A$206&lt;&gt;""),('Project Plan'!$P$7:$P$206+('Project Plan'!$P$7:$P$206="")),--('Project Plan'!$F$7:$F$206&lt;&gt;""),--('Project Plan'!$G$7:$G$206&lt;&gt;""),((A251&gt;='Project Plan'!$G$7:$G$206)+((A251&gt;='Project Plan'!$F$7:$F$206)*(A251&lt;'Project Plan'!$G$7:$G$206)*(A251-'Project Plan'!$F$7:$F$206+1)/('Project Plan'!$G$7:$G$206-'Project Plan'!$F$7:$F$206+1))))/SUMPRODUCT(--('Project Plan'!$A$7:$A$206&lt;&gt;""),('Project Plan'!$P$7:$P$206+('Project Plan'!$P$7:$P$206=""))),0))</x:f>
      </x:c>
      <x:c r="C251" s="162" t="str">
        <x:f>IF(A251="","",IF(A251&gt;$F$2,"",IF(A251=$F$2,$H$2,IFERROR(LOOKUP(2,1/(($G$7:$G$106&lt;&gt;"")*($G$7:$G$106&lt;=A251)),$H$7:$H$106),""))))</x:f>
      </x:c>
      <x:c r="D251" s="162" t="str">
        <x:f>IF(C251="","",C251-B251)</x:f>
      </x:c>
      <x:c r="E251" s="163" t="str">
        <x:f>IF(D251="","",IF(D251&gt;=0,"On / Ahead",IF(D251&gt;=-0.05,"Watch","Behind")))</x:f>
      </x:c>
      <x:c r="J251"/>
      <x:c r="K251"/>
      <x:c r="L251"/>
      <x:c r="M251" t="str">
        <x:f>IF(A251="","",TEXT(A251,"mmm d"))</x:f>
      </x:c>
      <x:c r="N251" s="14" t="e">
        <x:f>IF(B251="",NA(),B251)</x:f>
        <x:v>#N/A</x:v>
      </x:c>
      <x:c r="O251" s="14" t="e">
        <x:f>IF(OR(P251="",$B$2="",$F$2="",P251&lt;$B$2,P251&gt;$F$2),NA(),IF(Q251=0,IF($F$2=$B$2,$H$2,MAX(0,MIN(1,$H$2*(3*MAX(0,MIN(1,(P251-$B$2)/($F$2-$B$2)))^2-2*MAX(0,MIN(1,(P251-$B$2)/($F$2-$B$2)))^3)))),MAX(0,MIN(1,T251+(V251-T251)*(3*W251^2-2*W251^3)))))</x:f>
        <x:v>#N/A</x:v>
      </x:c>
      <x:c r="P251" s="189" t="str">
        <x:f>A251</x:f>
      </x:c>
      <x:c r="Q251" t="n">
        <x:f>COUNT($G$7:$G$106)</x:f>
        <x:v>0</x:v>
      </x:c>
      <x:c r="R251" t="str">
        <x:f>IF(OR(P251="",$B$2="",$F$2="",P251&lt;$B$2,P251&gt;$F$2),"",IF(Q251=0,0,IF(P251&lt;$G$7,0,IF(P251&gt;=INDEX($G$7:$G$106,Q251),Q251,MATCH(P251,$G$7:$G$106,1)))))</x:f>
      </x:c>
      <x:c r="S251" t="str">
        <x:f>IF(R251="","",IF(R251=0,$B$2,INDEX($G$7:$G$106,R251)))</x:f>
      </x:c>
      <x:c r="T251" s="14" t="str">
        <x:f>IF(R251="","",IF(R251=0,0,INDEX($H$7:$H$106,R251)))</x:f>
      </x:c>
      <x:c r="U251" t="str">
        <x:f>IF(R251="","",IF(Q251=0,$F$2,IF(R251=0,$G$7,IF(R251&lt;Q251,INDEX($G$7:$G$106,R251+1),$F$2))))</x:f>
      </x:c>
      <x:c r="V251" s="14" t="str">
        <x:f>IF(R251="","",IF(Q251=0,$H$2,IF(R251=0,$H$7,IF(R251&lt;Q251,INDEX($H$7:$H$106,R251+1),$H$2))))</x:f>
      </x:c>
      <x:c r="W251" s="188" t="str">
        <x:f>IF(R251="","",IF(U251=S251,1,MAX(0,MIN(1,(P251-S251)/(U251-S251)))))</x:f>
      </x:c>
    </x:row>
    <x:row r="252">
      <x:c r="A252" s="159" t="str">
        <x:f>IF(OR(A251="",A251&gt;=$D$2),"",A251+1)</x:f>
      </x:c>
      <x:c r="B252" s="162" t="str">
        <x:f>IF(A252="","",IFERROR(SUMPRODUCT(--('Project Plan'!$A$7:$A$206&lt;&gt;""),('Project Plan'!$P$7:$P$206+('Project Plan'!$P$7:$P$206="")),--('Project Plan'!$F$7:$F$206&lt;&gt;""),--('Project Plan'!$G$7:$G$206&lt;&gt;""),((A252&gt;='Project Plan'!$G$7:$G$206)+((A252&gt;='Project Plan'!$F$7:$F$206)*(A252&lt;'Project Plan'!$G$7:$G$206)*(A252-'Project Plan'!$F$7:$F$206+1)/('Project Plan'!$G$7:$G$206-'Project Plan'!$F$7:$F$206+1))))/SUMPRODUCT(--('Project Plan'!$A$7:$A$206&lt;&gt;""),('Project Plan'!$P$7:$P$206+('Project Plan'!$P$7:$P$206=""))),0))</x:f>
      </x:c>
      <x:c r="C252" s="162" t="str">
        <x:f>IF(A252="","",IF(A252&gt;$F$2,"",IF(A252=$F$2,$H$2,IFERROR(LOOKUP(2,1/(($G$7:$G$106&lt;&gt;"")*($G$7:$G$106&lt;=A252)),$H$7:$H$106),""))))</x:f>
      </x:c>
      <x:c r="D252" s="162" t="str">
        <x:f>IF(C252="","",C252-B252)</x:f>
      </x:c>
      <x:c r="E252" s="163" t="str">
        <x:f>IF(D252="","",IF(D252&gt;=0,"On / Ahead",IF(D252&gt;=-0.05,"Watch","Behind")))</x:f>
      </x:c>
      <x:c r="J252"/>
      <x:c r="K252"/>
      <x:c r="L252"/>
      <x:c r="M252" t="str">
        <x:f>IF(A252="","",TEXT(A252,"mmm d"))</x:f>
      </x:c>
      <x:c r="N252" s="14" t="e">
        <x:f>IF(B252="",NA(),B252)</x:f>
        <x:v>#N/A</x:v>
      </x:c>
      <x:c r="O252" s="14" t="e">
        <x:f>IF(OR(P252="",$B$2="",$F$2="",P252&lt;$B$2,P252&gt;$F$2),NA(),IF(Q252=0,IF($F$2=$B$2,$H$2,MAX(0,MIN(1,$H$2*(3*MAX(0,MIN(1,(P252-$B$2)/($F$2-$B$2)))^2-2*MAX(0,MIN(1,(P252-$B$2)/($F$2-$B$2)))^3)))),MAX(0,MIN(1,T252+(V252-T252)*(3*W252^2-2*W252^3)))))</x:f>
        <x:v>#N/A</x:v>
      </x:c>
      <x:c r="P252" s="189" t="str">
        <x:f>A252</x:f>
      </x:c>
      <x:c r="Q252" t="n">
        <x:f>COUNT($G$7:$G$106)</x:f>
        <x:v>0</x:v>
      </x:c>
      <x:c r="R252" t="str">
        <x:f>IF(OR(P252="",$B$2="",$F$2="",P252&lt;$B$2,P252&gt;$F$2),"",IF(Q252=0,0,IF(P252&lt;$G$7,0,IF(P252&gt;=INDEX($G$7:$G$106,Q252),Q252,MATCH(P252,$G$7:$G$106,1)))))</x:f>
      </x:c>
      <x:c r="S252" t="str">
        <x:f>IF(R252="","",IF(R252=0,$B$2,INDEX($G$7:$G$106,R252)))</x:f>
      </x:c>
      <x:c r="T252" s="14" t="str">
        <x:f>IF(R252="","",IF(R252=0,0,INDEX($H$7:$H$106,R252)))</x:f>
      </x:c>
      <x:c r="U252" t="str">
        <x:f>IF(R252="","",IF(Q252=0,$F$2,IF(R252=0,$G$7,IF(R252&lt;Q252,INDEX($G$7:$G$106,R252+1),$F$2))))</x:f>
      </x:c>
      <x:c r="V252" s="14" t="str">
        <x:f>IF(R252="","",IF(Q252=0,$H$2,IF(R252=0,$H$7,IF(R252&lt;Q252,INDEX($H$7:$H$106,R252+1),$H$2))))</x:f>
      </x:c>
      <x:c r="W252" s="188" t="str">
        <x:f>IF(R252="","",IF(U252=S252,1,MAX(0,MIN(1,(P252-S252)/(U252-S252)))))</x:f>
      </x:c>
    </x:row>
    <x:row r="253">
      <x:c r="A253" s="159" t="str">
        <x:f>IF(OR(A252="",A252&gt;=$D$2),"",A252+1)</x:f>
      </x:c>
      <x:c r="B253" s="162" t="str">
        <x:f>IF(A253="","",IFERROR(SUMPRODUCT(--('Project Plan'!$A$7:$A$206&lt;&gt;""),('Project Plan'!$P$7:$P$206+('Project Plan'!$P$7:$P$206="")),--('Project Plan'!$F$7:$F$206&lt;&gt;""),--('Project Plan'!$G$7:$G$206&lt;&gt;""),((A253&gt;='Project Plan'!$G$7:$G$206)+((A253&gt;='Project Plan'!$F$7:$F$206)*(A253&lt;'Project Plan'!$G$7:$G$206)*(A253-'Project Plan'!$F$7:$F$206+1)/('Project Plan'!$G$7:$G$206-'Project Plan'!$F$7:$F$206+1))))/SUMPRODUCT(--('Project Plan'!$A$7:$A$206&lt;&gt;""),('Project Plan'!$P$7:$P$206+('Project Plan'!$P$7:$P$206=""))),0))</x:f>
      </x:c>
      <x:c r="C253" s="162" t="str">
        <x:f>IF(A253="","",IF(A253&gt;$F$2,"",IF(A253=$F$2,$H$2,IFERROR(LOOKUP(2,1/(($G$7:$G$106&lt;&gt;"")*($G$7:$G$106&lt;=A253)),$H$7:$H$106),""))))</x:f>
      </x:c>
      <x:c r="D253" s="162" t="str">
        <x:f>IF(C253="","",C253-B253)</x:f>
      </x:c>
      <x:c r="E253" s="163" t="str">
        <x:f>IF(D253="","",IF(D253&gt;=0,"On / Ahead",IF(D253&gt;=-0.05,"Watch","Behind")))</x:f>
      </x:c>
      <x:c r="J253"/>
      <x:c r="K253"/>
      <x:c r="L253"/>
      <x:c r="M253" t="str">
        <x:f>IF(A253="","",TEXT(A253,"mmm d"))</x:f>
      </x:c>
      <x:c r="N253" s="14" t="e">
        <x:f>IF(B253="",NA(),B253)</x:f>
        <x:v>#N/A</x:v>
      </x:c>
      <x:c r="O253" s="14" t="e">
        <x:f>IF(OR(P253="",$B$2="",$F$2="",P253&lt;$B$2,P253&gt;$F$2),NA(),IF(Q253=0,IF($F$2=$B$2,$H$2,MAX(0,MIN(1,$H$2*(3*MAX(0,MIN(1,(P253-$B$2)/($F$2-$B$2)))^2-2*MAX(0,MIN(1,(P253-$B$2)/($F$2-$B$2)))^3)))),MAX(0,MIN(1,T253+(V253-T253)*(3*W253^2-2*W253^3)))))</x:f>
        <x:v>#N/A</x:v>
      </x:c>
      <x:c r="P253" s="189" t="str">
        <x:f>A253</x:f>
      </x:c>
      <x:c r="Q253" t="n">
        <x:f>COUNT($G$7:$G$106)</x:f>
        <x:v>0</x:v>
      </x:c>
      <x:c r="R253" t="str">
        <x:f>IF(OR(P253="",$B$2="",$F$2="",P253&lt;$B$2,P253&gt;$F$2),"",IF(Q253=0,0,IF(P253&lt;$G$7,0,IF(P253&gt;=INDEX($G$7:$G$106,Q253),Q253,MATCH(P253,$G$7:$G$106,1)))))</x:f>
      </x:c>
      <x:c r="S253" t="str">
        <x:f>IF(R253="","",IF(R253=0,$B$2,INDEX($G$7:$G$106,R253)))</x:f>
      </x:c>
      <x:c r="T253" s="14" t="str">
        <x:f>IF(R253="","",IF(R253=0,0,INDEX($H$7:$H$106,R253)))</x:f>
      </x:c>
      <x:c r="U253" t="str">
        <x:f>IF(R253="","",IF(Q253=0,$F$2,IF(R253=0,$G$7,IF(R253&lt;Q253,INDEX($G$7:$G$106,R253+1),$F$2))))</x:f>
      </x:c>
      <x:c r="V253" s="14" t="str">
        <x:f>IF(R253="","",IF(Q253=0,$H$2,IF(R253=0,$H$7,IF(R253&lt;Q253,INDEX($H$7:$H$106,R253+1),$H$2))))</x:f>
      </x:c>
      <x:c r="W253" s="188" t="str">
        <x:f>IF(R253="","",IF(U253=S253,1,MAX(0,MIN(1,(P253-S253)/(U253-S253)))))</x:f>
      </x:c>
    </x:row>
    <x:row r="254">
      <x:c r="A254" s="159" t="str">
        <x:f>IF(OR(A253="",A253&gt;=$D$2),"",A253+1)</x:f>
      </x:c>
      <x:c r="B254" s="162" t="str">
        <x:f>IF(A254="","",IFERROR(SUMPRODUCT(--('Project Plan'!$A$7:$A$206&lt;&gt;""),('Project Plan'!$P$7:$P$206+('Project Plan'!$P$7:$P$206="")),--('Project Plan'!$F$7:$F$206&lt;&gt;""),--('Project Plan'!$G$7:$G$206&lt;&gt;""),((A254&gt;='Project Plan'!$G$7:$G$206)+((A254&gt;='Project Plan'!$F$7:$F$206)*(A254&lt;'Project Plan'!$G$7:$G$206)*(A254-'Project Plan'!$F$7:$F$206+1)/('Project Plan'!$G$7:$G$206-'Project Plan'!$F$7:$F$206+1))))/SUMPRODUCT(--('Project Plan'!$A$7:$A$206&lt;&gt;""),('Project Plan'!$P$7:$P$206+('Project Plan'!$P$7:$P$206=""))),0))</x:f>
      </x:c>
      <x:c r="C254" s="162" t="str">
        <x:f>IF(A254="","",IF(A254&gt;$F$2,"",IF(A254=$F$2,$H$2,IFERROR(LOOKUP(2,1/(($G$7:$G$106&lt;&gt;"")*($G$7:$G$106&lt;=A254)),$H$7:$H$106),""))))</x:f>
      </x:c>
      <x:c r="D254" s="162" t="str">
        <x:f>IF(C254="","",C254-B254)</x:f>
      </x:c>
      <x:c r="E254" s="163" t="str">
        <x:f>IF(D254="","",IF(D254&gt;=0,"On / Ahead",IF(D254&gt;=-0.05,"Watch","Behind")))</x:f>
      </x:c>
      <x:c r="J254"/>
      <x:c r="K254"/>
      <x:c r="L254"/>
      <x:c r="M254" t="str">
        <x:f>IF(A254="","",TEXT(A254,"mmm d"))</x:f>
      </x:c>
      <x:c r="N254" s="14" t="e">
        <x:f>IF(B254="",NA(),B254)</x:f>
        <x:v>#N/A</x:v>
      </x:c>
      <x:c r="O254" s="14" t="e">
        <x:f>IF(OR(P254="",$B$2="",$F$2="",P254&lt;$B$2,P254&gt;$F$2),NA(),IF(Q254=0,IF($F$2=$B$2,$H$2,MAX(0,MIN(1,$H$2*(3*MAX(0,MIN(1,(P254-$B$2)/($F$2-$B$2)))^2-2*MAX(0,MIN(1,(P254-$B$2)/($F$2-$B$2)))^3)))),MAX(0,MIN(1,T254+(V254-T254)*(3*W254^2-2*W254^3)))))</x:f>
        <x:v>#N/A</x:v>
      </x:c>
      <x:c r="P254" s="189" t="str">
        <x:f>A254</x:f>
      </x:c>
      <x:c r="Q254" t="n">
        <x:f>COUNT($G$7:$G$106)</x:f>
        <x:v>0</x:v>
      </x:c>
      <x:c r="R254" t="str">
        <x:f>IF(OR(P254="",$B$2="",$F$2="",P254&lt;$B$2,P254&gt;$F$2),"",IF(Q254=0,0,IF(P254&lt;$G$7,0,IF(P254&gt;=INDEX($G$7:$G$106,Q254),Q254,MATCH(P254,$G$7:$G$106,1)))))</x:f>
      </x:c>
      <x:c r="S254" t="str">
        <x:f>IF(R254="","",IF(R254=0,$B$2,INDEX($G$7:$G$106,R254)))</x:f>
      </x:c>
      <x:c r="T254" s="14" t="str">
        <x:f>IF(R254="","",IF(R254=0,0,INDEX($H$7:$H$106,R254)))</x:f>
      </x:c>
      <x:c r="U254" t="str">
        <x:f>IF(R254="","",IF(Q254=0,$F$2,IF(R254=0,$G$7,IF(R254&lt;Q254,INDEX($G$7:$G$106,R254+1),$F$2))))</x:f>
      </x:c>
      <x:c r="V254" s="14" t="str">
        <x:f>IF(R254="","",IF(Q254=0,$H$2,IF(R254=0,$H$7,IF(R254&lt;Q254,INDEX($H$7:$H$106,R254+1),$H$2))))</x:f>
      </x:c>
      <x:c r="W254" s="188" t="str">
        <x:f>IF(R254="","",IF(U254=S254,1,MAX(0,MIN(1,(P254-S254)/(U254-S254)))))</x:f>
      </x:c>
    </x:row>
    <x:row r="255">
      <x:c r="A255" s="159" t="str">
        <x:f>IF(OR(A254="",A254&gt;=$D$2),"",A254+1)</x:f>
      </x:c>
      <x:c r="B255" s="162" t="str">
        <x:f>IF(A255="","",IFERROR(SUMPRODUCT(--('Project Plan'!$A$7:$A$206&lt;&gt;""),('Project Plan'!$P$7:$P$206+('Project Plan'!$P$7:$P$206="")),--('Project Plan'!$F$7:$F$206&lt;&gt;""),--('Project Plan'!$G$7:$G$206&lt;&gt;""),((A255&gt;='Project Plan'!$G$7:$G$206)+((A255&gt;='Project Plan'!$F$7:$F$206)*(A255&lt;'Project Plan'!$G$7:$G$206)*(A255-'Project Plan'!$F$7:$F$206+1)/('Project Plan'!$G$7:$G$206-'Project Plan'!$F$7:$F$206+1))))/SUMPRODUCT(--('Project Plan'!$A$7:$A$206&lt;&gt;""),('Project Plan'!$P$7:$P$206+('Project Plan'!$P$7:$P$206=""))),0))</x:f>
      </x:c>
      <x:c r="C255" s="162" t="str">
        <x:f>IF(A255="","",IF(A255&gt;$F$2,"",IF(A255=$F$2,$H$2,IFERROR(LOOKUP(2,1/(($G$7:$G$106&lt;&gt;"")*($G$7:$G$106&lt;=A255)),$H$7:$H$106),""))))</x:f>
      </x:c>
      <x:c r="D255" s="162" t="str">
        <x:f>IF(C255="","",C255-B255)</x:f>
      </x:c>
      <x:c r="E255" s="163" t="str">
        <x:f>IF(D255="","",IF(D255&gt;=0,"On / Ahead",IF(D255&gt;=-0.05,"Watch","Behind")))</x:f>
      </x:c>
      <x:c r="J255"/>
      <x:c r="K255"/>
      <x:c r="L255"/>
      <x:c r="M255" t="str">
        <x:f>IF(A255="","",TEXT(A255,"mmm d"))</x:f>
      </x:c>
      <x:c r="N255" s="14" t="e">
        <x:f>IF(B255="",NA(),B255)</x:f>
        <x:v>#N/A</x:v>
      </x:c>
      <x:c r="O255" s="14" t="e">
        <x:f>IF(OR(P255="",$B$2="",$F$2="",P255&lt;$B$2,P255&gt;$F$2),NA(),IF(Q255=0,IF($F$2=$B$2,$H$2,MAX(0,MIN(1,$H$2*(3*MAX(0,MIN(1,(P255-$B$2)/($F$2-$B$2)))^2-2*MAX(0,MIN(1,(P255-$B$2)/($F$2-$B$2)))^3)))),MAX(0,MIN(1,T255+(V255-T255)*(3*W255^2-2*W255^3)))))</x:f>
        <x:v>#N/A</x:v>
      </x:c>
      <x:c r="P255" s="189" t="str">
        <x:f>A255</x:f>
      </x:c>
      <x:c r="Q255" t="n">
        <x:f>COUNT($G$7:$G$106)</x:f>
        <x:v>0</x:v>
      </x:c>
      <x:c r="R255" t="str">
        <x:f>IF(OR(P255="",$B$2="",$F$2="",P255&lt;$B$2,P255&gt;$F$2),"",IF(Q255=0,0,IF(P255&lt;$G$7,0,IF(P255&gt;=INDEX($G$7:$G$106,Q255),Q255,MATCH(P255,$G$7:$G$106,1)))))</x:f>
      </x:c>
      <x:c r="S255" t="str">
        <x:f>IF(R255="","",IF(R255=0,$B$2,INDEX($G$7:$G$106,R255)))</x:f>
      </x:c>
      <x:c r="T255" s="14" t="str">
        <x:f>IF(R255="","",IF(R255=0,0,INDEX($H$7:$H$106,R255)))</x:f>
      </x:c>
      <x:c r="U255" t="str">
        <x:f>IF(R255="","",IF(Q255=0,$F$2,IF(R255=0,$G$7,IF(R255&lt;Q255,INDEX($G$7:$G$106,R255+1),$F$2))))</x:f>
      </x:c>
      <x:c r="V255" s="14" t="str">
        <x:f>IF(R255="","",IF(Q255=0,$H$2,IF(R255=0,$H$7,IF(R255&lt;Q255,INDEX($H$7:$H$106,R255+1),$H$2))))</x:f>
      </x:c>
      <x:c r="W255" s="188" t="str">
        <x:f>IF(R255="","",IF(U255=S255,1,MAX(0,MIN(1,(P255-S255)/(U255-S255)))))</x:f>
      </x:c>
    </x:row>
    <x:row r="256">
      <x:c r="A256" s="159" t="str">
        <x:f>IF(OR(A255="",A255&gt;=$D$2),"",A255+1)</x:f>
      </x:c>
      <x:c r="B256" s="162" t="str">
        <x:f>IF(A256="","",IFERROR(SUMPRODUCT(--('Project Plan'!$A$7:$A$206&lt;&gt;""),('Project Plan'!$P$7:$P$206+('Project Plan'!$P$7:$P$206="")),--('Project Plan'!$F$7:$F$206&lt;&gt;""),--('Project Plan'!$G$7:$G$206&lt;&gt;""),((A256&gt;='Project Plan'!$G$7:$G$206)+((A256&gt;='Project Plan'!$F$7:$F$206)*(A256&lt;'Project Plan'!$G$7:$G$206)*(A256-'Project Plan'!$F$7:$F$206+1)/('Project Plan'!$G$7:$G$206-'Project Plan'!$F$7:$F$206+1))))/SUMPRODUCT(--('Project Plan'!$A$7:$A$206&lt;&gt;""),('Project Plan'!$P$7:$P$206+('Project Plan'!$P$7:$P$206=""))),0))</x:f>
      </x:c>
      <x:c r="C256" s="162" t="str">
        <x:f>IF(A256="","",IF(A256&gt;$F$2,"",IF(A256=$F$2,$H$2,IFERROR(LOOKUP(2,1/(($G$7:$G$106&lt;&gt;"")*($G$7:$G$106&lt;=A256)),$H$7:$H$106),""))))</x:f>
      </x:c>
      <x:c r="D256" s="162" t="str">
        <x:f>IF(C256="","",C256-B256)</x:f>
      </x:c>
      <x:c r="E256" s="163" t="str">
        <x:f>IF(D256="","",IF(D256&gt;=0,"On / Ahead",IF(D256&gt;=-0.05,"Watch","Behind")))</x:f>
      </x:c>
      <x:c r="J256"/>
      <x:c r="K256"/>
      <x:c r="L256"/>
      <x:c r="M256" t="str">
        <x:f>IF(A256="","",TEXT(A256,"mmm d"))</x:f>
      </x:c>
      <x:c r="N256" s="14" t="e">
        <x:f>IF(B256="",NA(),B256)</x:f>
        <x:v>#N/A</x:v>
      </x:c>
      <x:c r="O256" s="14" t="e">
        <x:f>IF(OR(P256="",$B$2="",$F$2="",P256&lt;$B$2,P256&gt;$F$2),NA(),IF(Q256=0,IF($F$2=$B$2,$H$2,MAX(0,MIN(1,$H$2*(3*MAX(0,MIN(1,(P256-$B$2)/($F$2-$B$2)))^2-2*MAX(0,MIN(1,(P256-$B$2)/($F$2-$B$2)))^3)))),MAX(0,MIN(1,T256+(V256-T256)*(3*W256^2-2*W256^3)))))</x:f>
        <x:v>#N/A</x:v>
      </x:c>
      <x:c r="P256" s="189" t="str">
        <x:f>A256</x:f>
      </x:c>
      <x:c r="Q256" t="n">
        <x:f>COUNT($G$7:$G$106)</x:f>
        <x:v>0</x:v>
      </x:c>
      <x:c r="R256" t="str">
        <x:f>IF(OR(P256="",$B$2="",$F$2="",P256&lt;$B$2,P256&gt;$F$2),"",IF(Q256=0,0,IF(P256&lt;$G$7,0,IF(P256&gt;=INDEX($G$7:$G$106,Q256),Q256,MATCH(P256,$G$7:$G$106,1)))))</x:f>
      </x:c>
      <x:c r="S256" t="str">
        <x:f>IF(R256="","",IF(R256=0,$B$2,INDEX($G$7:$G$106,R256)))</x:f>
      </x:c>
      <x:c r="T256" s="14" t="str">
        <x:f>IF(R256="","",IF(R256=0,0,INDEX($H$7:$H$106,R256)))</x:f>
      </x:c>
      <x:c r="U256" t="str">
        <x:f>IF(R256="","",IF(Q256=0,$F$2,IF(R256=0,$G$7,IF(R256&lt;Q256,INDEX($G$7:$G$106,R256+1),$F$2))))</x:f>
      </x:c>
      <x:c r="V256" s="14" t="str">
        <x:f>IF(R256="","",IF(Q256=0,$H$2,IF(R256=0,$H$7,IF(R256&lt;Q256,INDEX($H$7:$H$106,R256+1),$H$2))))</x:f>
      </x:c>
      <x:c r="W256" s="188" t="str">
        <x:f>IF(R256="","",IF(U256=S256,1,MAX(0,MIN(1,(P256-S256)/(U256-S256)))))</x:f>
      </x:c>
    </x:row>
    <x:row r="257">
      <x:c r="A257" s="159" t="str">
        <x:f>IF(OR(A256="",A256&gt;=$D$2),"",A256+1)</x:f>
      </x:c>
      <x:c r="B257" s="162" t="str">
        <x:f>IF(A257="","",IFERROR(SUMPRODUCT(--('Project Plan'!$A$7:$A$206&lt;&gt;""),('Project Plan'!$P$7:$P$206+('Project Plan'!$P$7:$P$206="")),--('Project Plan'!$F$7:$F$206&lt;&gt;""),--('Project Plan'!$G$7:$G$206&lt;&gt;""),((A257&gt;='Project Plan'!$G$7:$G$206)+((A257&gt;='Project Plan'!$F$7:$F$206)*(A257&lt;'Project Plan'!$G$7:$G$206)*(A257-'Project Plan'!$F$7:$F$206+1)/('Project Plan'!$G$7:$G$206-'Project Plan'!$F$7:$F$206+1))))/SUMPRODUCT(--('Project Plan'!$A$7:$A$206&lt;&gt;""),('Project Plan'!$P$7:$P$206+('Project Plan'!$P$7:$P$206=""))),0))</x:f>
      </x:c>
      <x:c r="C257" s="162" t="str">
        <x:f>IF(A257="","",IF(A257&gt;$F$2,"",IF(A257=$F$2,$H$2,IFERROR(LOOKUP(2,1/(($G$7:$G$106&lt;&gt;"")*($G$7:$G$106&lt;=A257)),$H$7:$H$106),""))))</x:f>
      </x:c>
      <x:c r="D257" s="162" t="str">
        <x:f>IF(C257="","",C257-B257)</x:f>
      </x:c>
      <x:c r="E257" s="163" t="str">
        <x:f>IF(D257="","",IF(D257&gt;=0,"On / Ahead",IF(D257&gt;=-0.05,"Watch","Behind")))</x:f>
      </x:c>
      <x:c r="J257"/>
      <x:c r="K257"/>
      <x:c r="L257"/>
      <x:c r="M257" t="str">
        <x:f>IF(A257="","",TEXT(A257,"mmm d"))</x:f>
      </x:c>
      <x:c r="N257" s="14" t="e">
        <x:f>IF(B257="",NA(),B257)</x:f>
        <x:v>#N/A</x:v>
      </x:c>
      <x:c r="O257" s="14" t="e">
        <x:f>IF(OR(P257="",$B$2="",$F$2="",P257&lt;$B$2,P257&gt;$F$2),NA(),IF(Q257=0,IF($F$2=$B$2,$H$2,MAX(0,MIN(1,$H$2*(3*MAX(0,MIN(1,(P257-$B$2)/($F$2-$B$2)))^2-2*MAX(0,MIN(1,(P257-$B$2)/($F$2-$B$2)))^3)))),MAX(0,MIN(1,T257+(V257-T257)*(3*W257^2-2*W257^3)))))</x:f>
        <x:v>#N/A</x:v>
      </x:c>
      <x:c r="P257" s="189" t="str">
        <x:f>A257</x:f>
      </x:c>
      <x:c r="Q257" t="n">
        <x:f>COUNT($G$7:$G$106)</x:f>
        <x:v>0</x:v>
      </x:c>
      <x:c r="R257" t="str">
        <x:f>IF(OR(P257="",$B$2="",$F$2="",P257&lt;$B$2,P257&gt;$F$2),"",IF(Q257=0,0,IF(P257&lt;$G$7,0,IF(P257&gt;=INDEX($G$7:$G$106,Q257),Q257,MATCH(P257,$G$7:$G$106,1)))))</x:f>
      </x:c>
      <x:c r="S257" t="str">
        <x:f>IF(R257="","",IF(R257=0,$B$2,INDEX($G$7:$G$106,R257)))</x:f>
      </x:c>
      <x:c r="T257" s="14" t="str">
        <x:f>IF(R257="","",IF(R257=0,0,INDEX($H$7:$H$106,R257)))</x:f>
      </x:c>
      <x:c r="U257" t="str">
        <x:f>IF(R257="","",IF(Q257=0,$F$2,IF(R257=0,$G$7,IF(R257&lt;Q257,INDEX($G$7:$G$106,R257+1),$F$2))))</x:f>
      </x:c>
      <x:c r="V257" s="14" t="str">
        <x:f>IF(R257="","",IF(Q257=0,$H$2,IF(R257=0,$H$7,IF(R257&lt;Q257,INDEX($H$7:$H$106,R257+1),$H$2))))</x:f>
      </x:c>
      <x:c r="W257" s="188" t="str">
        <x:f>IF(R257="","",IF(U257=S257,1,MAX(0,MIN(1,(P257-S257)/(U257-S257)))))</x:f>
      </x:c>
    </x:row>
    <x:row r="258">
      <x:c r="A258" s="159" t="str">
        <x:f>IF(OR(A257="",A257&gt;=$D$2),"",A257+1)</x:f>
      </x:c>
      <x:c r="B258" s="162" t="str">
        <x:f>IF(A258="","",IFERROR(SUMPRODUCT(--('Project Plan'!$A$7:$A$206&lt;&gt;""),('Project Plan'!$P$7:$P$206+('Project Plan'!$P$7:$P$206="")),--('Project Plan'!$F$7:$F$206&lt;&gt;""),--('Project Plan'!$G$7:$G$206&lt;&gt;""),((A258&gt;='Project Plan'!$G$7:$G$206)+((A258&gt;='Project Plan'!$F$7:$F$206)*(A258&lt;'Project Plan'!$G$7:$G$206)*(A258-'Project Plan'!$F$7:$F$206+1)/('Project Plan'!$G$7:$G$206-'Project Plan'!$F$7:$F$206+1))))/SUMPRODUCT(--('Project Plan'!$A$7:$A$206&lt;&gt;""),('Project Plan'!$P$7:$P$206+('Project Plan'!$P$7:$P$206=""))),0))</x:f>
      </x:c>
      <x:c r="C258" s="162" t="str">
        <x:f>IF(A258="","",IF(A258&gt;$F$2,"",IF(A258=$F$2,$H$2,IFERROR(LOOKUP(2,1/(($G$7:$G$106&lt;&gt;"")*($G$7:$G$106&lt;=A258)),$H$7:$H$106),""))))</x:f>
      </x:c>
      <x:c r="D258" s="162" t="str">
        <x:f>IF(C258="","",C258-B258)</x:f>
      </x:c>
      <x:c r="E258" s="163" t="str">
        <x:f>IF(D258="","",IF(D258&gt;=0,"On / Ahead",IF(D258&gt;=-0.05,"Watch","Behind")))</x:f>
      </x:c>
      <x:c r="J258"/>
      <x:c r="K258"/>
      <x:c r="L258"/>
      <x:c r="M258" t="str">
        <x:f>IF(A258="","",TEXT(A258,"mmm d"))</x:f>
      </x:c>
      <x:c r="N258" s="14" t="e">
        <x:f>IF(B258="",NA(),B258)</x:f>
        <x:v>#N/A</x:v>
      </x:c>
      <x:c r="O258" s="14" t="e">
        <x:f>IF(OR(P258="",$B$2="",$F$2="",P258&lt;$B$2,P258&gt;$F$2),NA(),IF(Q258=0,IF($F$2=$B$2,$H$2,MAX(0,MIN(1,$H$2*(3*MAX(0,MIN(1,(P258-$B$2)/($F$2-$B$2)))^2-2*MAX(0,MIN(1,(P258-$B$2)/($F$2-$B$2)))^3)))),MAX(0,MIN(1,T258+(V258-T258)*(3*W258^2-2*W258^3)))))</x:f>
        <x:v>#N/A</x:v>
      </x:c>
      <x:c r="P258" s="189" t="str">
        <x:f>A258</x:f>
      </x:c>
      <x:c r="Q258" t="n">
        <x:f>COUNT($G$7:$G$106)</x:f>
        <x:v>0</x:v>
      </x:c>
      <x:c r="R258" t="str">
        <x:f>IF(OR(P258="",$B$2="",$F$2="",P258&lt;$B$2,P258&gt;$F$2),"",IF(Q258=0,0,IF(P258&lt;$G$7,0,IF(P258&gt;=INDEX($G$7:$G$106,Q258),Q258,MATCH(P258,$G$7:$G$106,1)))))</x:f>
      </x:c>
      <x:c r="S258" t="str">
        <x:f>IF(R258="","",IF(R258=0,$B$2,INDEX($G$7:$G$106,R258)))</x:f>
      </x:c>
      <x:c r="T258" s="14" t="str">
        <x:f>IF(R258="","",IF(R258=0,0,INDEX($H$7:$H$106,R258)))</x:f>
      </x:c>
      <x:c r="U258" t="str">
        <x:f>IF(R258="","",IF(Q258=0,$F$2,IF(R258=0,$G$7,IF(R258&lt;Q258,INDEX($G$7:$G$106,R258+1),$F$2))))</x:f>
      </x:c>
      <x:c r="V258" s="14" t="str">
        <x:f>IF(R258="","",IF(Q258=0,$H$2,IF(R258=0,$H$7,IF(R258&lt;Q258,INDEX($H$7:$H$106,R258+1),$H$2))))</x:f>
      </x:c>
      <x:c r="W258" s="188" t="str">
        <x:f>IF(R258="","",IF(U258=S258,1,MAX(0,MIN(1,(P258-S258)/(U258-S258)))))</x:f>
      </x:c>
    </x:row>
    <x:row r="259">
      <x:c r="A259" s="159" t="str">
        <x:f>IF(OR(A258="",A258&gt;=$D$2),"",A258+1)</x:f>
      </x:c>
      <x:c r="B259" s="162" t="str">
        <x:f>IF(A259="","",IFERROR(SUMPRODUCT(--('Project Plan'!$A$7:$A$206&lt;&gt;""),('Project Plan'!$P$7:$P$206+('Project Plan'!$P$7:$P$206="")),--('Project Plan'!$F$7:$F$206&lt;&gt;""),--('Project Plan'!$G$7:$G$206&lt;&gt;""),((A259&gt;='Project Plan'!$G$7:$G$206)+((A259&gt;='Project Plan'!$F$7:$F$206)*(A259&lt;'Project Plan'!$G$7:$G$206)*(A259-'Project Plan'!$F$7:$F$206+1)/('Project Plan'!$G$7:$G$206-'Project Plan'!$F$7:$F$206+1))))/SUMPRODUCT(--('Project Plan'!$A$7:$A$206&lt;&gt;""),('Project Plan'!$P$7:$P$206+('Project Plan'!$P$7:$P$206=""))),0))</x:f>
      </x:c>
      <x:c r="C259" s="162" t="str">
        <x:f>IF(A259="","",IF(A259&gt;$F$2,"",IF(A259=$F$2,$H$2,IFERROR(LOOKUP(2,1/(($G$7:$G$106&lt;&gt;"")*($G$7:$G$106&lt;=A259)),$H$7:$H$106),""))))</x:f>
      </x:c>
      <x:c r="D259" s="162" t="str">
        <x:f>IF(C259="","",C259-B259)</x:f>
      </x:c>
      <x:c r="E259" s="163" t="str">
        <x:f>IF(D259="","",IF(D259&gt;=0,"On / Ahead",IF(D259&gt;=-0.05,"Watch","Behind")))</x:f>
      </x:c>
      <x:c r="J259"/>
      <x:c r="K259"/>
      <x:c r="L259"/>
      <x:c r="M259" t="str">
        <x:f>IF(A259="","",TEXT(A259,"mmm d"))</x:f>
      </x:c>
      <x:c r="N259" s="14" t="e">
        <x:f>IF(B259="",NA(),B259)</x:f>
        <x:v>#N/A</x:v>
      </x:c>
      <x:c r="O259" s="14" t="e">
        <x:f>IF(OR(P259="",$B$2="",$F$2="",P259&lt;$B$2,P259&gt;$F$2),NA(),IF(Q259=0,IF($F$2=$B$2,$H$2,MAX(0,MIN(1,$H$2*(3*MAX(0,MIN(1,(P259-$B$2)/($F$2-$B$2)))^2-2*MAX(0,MIN(1,(P259-$B$2)/($F$2-$B$2)))^3)))),MAX(0,MIN(1,T259+(V259-T259)*(3*W259^2-2*W259^3)))))</x:f>
        <x:v>#N/A</x:v>
      </x:c>
      <x:c r="P259" s="189" t="str">
        <x:f>A259</x:f>
      </x:c>
      <x:c r="Q259" t="n">
        <x:f>COUNT($G$7:$G$106)</x:f>
        <x:v>0</x:v>
      </x:c>
      <x:c r="R259" t="str">
        <x:f>IF(OR(P259="",$B$2="",$F$2="",P259&lt;$B$2,P259&gt;$F$2),"",IF(Q259=0,0,IF(P259&lt;$G$7,0,IF(P259&gt;=INDEX($G$7:$G$106,Q259),Q259,MATCH(P259,$G$7:$G$106,1)))))</x:f>
      </x:c>
      <x:c r="S259" t="str">
        <x:f>IF(R259="","",IF(R259=0,$B$2,INDEX($G$7:$G$106,R259)))</x:f>
      </x:c>
      <x:c r="T259" s="14" t="str">
        <x:f>IF(R259="","",IF(R259=0,0,INDEX($H$7:$H$106,R259)))</x:f>
      </x:c>
      <x:c r="U259" t="str">
        <x:f>IF(R259="","",IF(Q259=0,$F$2,IF(R259=0,$G$7,IF(R259&lt;Q259,INDEX($G$7:$G$106,R259+1),$F$2))))</x:f>
      </x:c>
      <x:c r="V259" s="14" t="str">
        <x:f>IF(R259="","",IF(Q259=0,$H$2,IF(R259=0,$H$7,IF(R259&lt;Q259,INDEX($H$7:$H$106,R259+1),$H$2))))</x:f>
      </x:c>
      <x:c r="W259" s="188" t="str">
        <x:f>IF(R259="","",IF(U259=S259,1,MAX(0,MIN(1,(P259-S259)/(U259-S259)))))</x:f>
      </x:c>
    </x:row>
    <x:row r="260">
      <x:c r="A260" s="159" t="str">
        <x:f>IF(OR(A259="",A259&gt;=$D$2),"",A259+1)</x:f>
      </x:c>
      <x:c r="B260" s="162" t="str">
        <x:f>IF(A260="","",IFERROR(SUMPRODUCT(--('Project Plan'!$A$7:$A$206&lt;&gt;""),('Project Plan'!$P$7:$P$206+('Project Plan'!$P$7:$P$206="")),--('Project Plan'!$F$7:$F$206&lt;&gt;""),--('Project Plan'!$G$7:$G$206&lt;&gt;""),((A260&gt;='Project Plan'!$G$7:$G$206)+((A260&gt;='Project Plan'!$F$7:$F$206)*(A260&lt;'Project Plan'!$G$7:$G$206)*(A260-'Project Plan'!$F$7:$F$206+1)/('Project Plan'!$G$7:$G$206-'Project Plan'!$F$7:$F$206+1))))/SUMPRODUCT(--('Project Plan'!$A$7:$A$206&lt;&gt;""),('Project Plan'!$P$7:$P$206+('Project Plan'!$P$7:$P$206=""))),0))</x:f>
      </x:c>
      <x:c r="C260" s="162" t="str">
        <x:f>IF(A260="","",IF(A260&gt;$F$2,"",IF(A260=$F$2,$H$2,IFERROR(LOOKUP(2,1/(($G$7:$G$106&lt;&gt;"")*($G$7:$G$106&lt;=A260)),$H$7:$H$106),""))))</x:f>
      </x:c>
      <x:c r="D260" s="162" t="str">
        <x:f>IF(C260="","",C260-B260)</x:f>
      </x:c>
      <x:c r="E260" s="163" t="str">
        <x:f>IF(D260="","",IF(D260&gt;=0,"On / Ahead",IF(D260&gt;=-0.05,"Watch","Behind")))</x:f>
      </x:c>
      <x:c r="J260"/>
      <x:c r="K260"/>
      <x:c r="L260"/>
      <x:c r="M260" t="str">
        <x:f>IF(A260="","",TEXT(A260,"mmm d"))</x:f>
      </x:c>
      <x:c r="N260" s="14" t="e">
        <x:f>IF(B260="",NA(),B260)</x:f>
        <x:v>#N/A</x:v>
      </x:c>
      <x:c r="O260" s="14" t="e">
        <x:f>IF(OR(P260="",$B$2="",$F$2="",P260&lt;$B$2,P260&gt;$F$2),NA(),IF(Q260=0,IF($F$2=$B$2,$H$2,MAX(0,MIN(1,$H$2*(3*MAX(0,MIN(1,(P260-$B$2)/($F$2-$B$2)))^2-2*MAX(0,MIN(1,(P260-$B$2)/($F$2-$B$2)))^3)))),MAX(0,MIN(1,T260+(V260-T260)*(3*W260^2-2*W260^3)))))</x:f>
        <x:v>#N/A</x:v>
      </x:c>
      <x:c r="P260" s="189" t="str">
        <x:f>A260</x:f>
      </x:c>
      <x:c r="Q260" t="n">
        <x:f>COUNT($G$7:$G$106)</x:f>
        <x:v>0</x:v>
      </x:c>
      <x:c r="R260" t="str">
        <x:f>IF(OR(P260="",$B$2="",$F$2="",P260&lt;$B$2,P260&gt;$F$2),"",IF(Q260=0,0,IF(P260&lt;$G$7,0,IF(P260&gt;=INDEX($G$7:$G$106,Q260),Q260,MATCH(P260,$G$7:$G$106,1)))))</x:f>
      </x:c>
      <x:c r="S260" t="str">
        <x:f>IF(R260="","",IF(R260=0,$B$2,INDEX($G$7:$G$106,R260)))</x:f>
      </x:c>
      <x:c r="T260" s="14" t="str">
        <x:f>IF(R260="","",IF(R260=0,0,INDEX($H$7:$H$106,R260)))</x:f>
      </x:c>
      <x:c r="U260" t="str">
        <x:f>IF(R260="","",IF(Q260=0,$F$2,IF(R260=0,$G$7,IF(R260&lt;Q260,INDEX($G$7:$G$106,R260+1),$F$2))))</x:f>
      </x:c>
      <x:c r="V260" s="14" t="str">
        <x:f>IF(R260="","",IF(Q260=0,$H$2,IF(R260=0,$H$7,IF(R260&lt;Q260,INDEX($H$7:$H$106,R260+1),$H$2))))</x:f>
      </x:c>
      <x:c r="W260" s="188" t="str">
        <x:f>IF(R260="","",IF(U260=S260,1,MAX(0,MIN(1,(P260-S260)/(U260-S260)))))</x:f>
      </x:c>
    </x:row>
    <x:row r="261">
      <x:c r="A261" s="159" t="str">
        <x:f>IF(OR(A260="",A260&gt;=$D$2),"",A260+1)</x:f>
      </x:c>
      <x:c r="B261" s="162" t="str">
        <x:f>IF(A261="","",IFERROR(SUMPRODUCT(--('Project Plan'!$A$7:$A$206&lt;&gt;""),('Project Plan'!$P$7:$P$206+('Project Plan'!$P$7:$P$206="")),--('Project Plan'!$F$7:$F$206&lt;&gt;""),--('Project Plan'!$G$7:$G$206&lt;&gt;""),((A261&gt;='Project Plan'!$G$7:$G$206)+((A261&gt;='Project Plan'!$F$7:$F$206)*(A261&lt;'Project Plan'!$G$7:$G$206)*(A261-'Project Plan'!$F$7:$F$206+1)/('Project Plan'!$G$7:$G$206-'Project Plan'!$F$7:$F$206+1))))/SUMPRODUCT(--('Project Plan'!$A$7:$A$206&lt;&gt;""),('Project Plan'!$P$7:$P$206+('Project Plan'!$P$7:$P$206=""))),0))</x:f>
      </x:c>
      <x:c r="C261" s="162" t="str">
        <x:f>IF(A261="","",IF(A261&gt;$F$2,"",IF(A261=$F$2,$H$2,IFERROR(LOOKUP(2,1/(($G$7:$G$106&lt;&gt;"")*($G$7:$G$106&lt;=A261)),$H$7:$H$106),""))))</x:f>
      </x:c>
      <x:c r="D261" s="162" t="str">
        <x:f>IF(C261="","",C261-B261)</x:f>
      </x:c>
      <x:c r="E261" s="163" t="str">
        <x:f>IF(D261="","",IF(D261&gt;=0,"On / Ahead",IF(D261&gt;=-0.05,"Watch","Behind")))</x:f>
      </x:c>
      <x:c r="J261"/>
      <x:c r="K261"/>
      <x:c r="L261"/>
      <x:c r="M261" t="str">
        <x:f>IF(A261="","",TEXT(A261,"mmm d"))</x:f>
      </x:c>
      <x:c r="N261" s="14" t="e">
        <x:f>IF(B261="",NA(),B261)</x:f>
        <x:v>#N/A</x:v>
      </x:c>
      <x:c r="O261" s="14" t="e">
        <x:f>IF(OR(P261="",$B$2="",$F$2="",P261&lt;$B$2,P261&gt;$F$2),NA(),IF(Q261=0,IF($F$2=$B$2,$H$2,MAX(0,MIN(1,$H$2*(3*MAX(0,MIN(1,(P261-$B$2)/($F$2-$B$2)))^2-2*MAX(0,MIN(1,(P261-$B$2)/($F$2-$B$2)))^3)))),MAX(0,MIN(1,T261+(V261-T261)*(3*W261^2-2*W261^3)))))</x:f>
        <x:v>#N/A</x:v>
      </x:c>
      <x:c r="P261" s="189" t="str">
        <x:f>A261</x:f>
      </x:c>
      <x:c r="Q261" t="n">
        <x:f>COUNT($G$7:$G$106)</x:f>
        <x:v>0</x:v>
      </x:c>
      <x:c r="R261" t="str">
        <x:f>IF(OR(P261="",$B$2="",$F$2="",P261&lt;$B$2,P261&gt;$F$2),"",IF(Q261=0,0,IF(P261&lt;$G$7,0,IF(P261&gt;=INDEX($G$7:$G$106,Q261),Q261,MATCH(P261,$G$7:$G$106,1)))))</x:f>
      </x:c>
      <x:c r="S261" t="str">
        <x:f>IF(R261="","",IF(R261=0,$B$2,INDEX($G$7:$G$106,R261)))</x:f>
      </x:c>
      <x:c r="T261" s="14" t="str">
        <x:f>IF(R261="","",IF(R261=0,0,INDEX($H$7:$H$106,R261)))</x:f>
      </x:c>
      <x:c r="U261" t="str">
        <x:f>IF(R261="","",IF(Q261=0,$F$2,IF(R261=0,$G$7,IF(R261&lt;Q261,INDEX($G$7:$G$106,R261+1),$F$2))))</x:f>
      </x:c>
      <x:c r="V261" s="14" t="str">
        <x:f>IF(R261="","",IF(Q261=0,$H$2,IF(R261=0,$H$7,IF(R261&lt;Q261,INDEX($H$7:$H$106,R261+1),$H$2))))</x:f>
      </x:c>
      <x:c r="W261" s="188" t="str">
        <x:f>IF(R261="","",IF(U261=S261,1,MAX(0,MIN(1,(P261-S261)/(U261-S261)))))</x:f>
      </x:c>
    </x:row>
    <x:row r="262">
      <x:c r="A262" s="159" t="str">
        <x:f>IF(OR(A261="",A261&gt;=$D$2),"",A261+1)</x:f>
      </x:c>
      <x:c r="B262" s="162" t="str">
        <x:f>IF(A262="","",IFERROR(SUMPRODUCT(--('Project Plan'!$A$7:$A$206&lt;&gt;""),('Project Plan'!$P$7:$P$206+('Project Plan'!$P$7:$P$206="")),--('Project Plan'!$F$7:$F$206&lt;&gt;""),--('Project Plan'!$G$7:$G$206&lt;&gt;""),((A262&gt;='Project Plan'!$G$7:$G$206)+((A262&gt;='Project Plan'!$F$7:$F$206)*(A262&lt;'Project Plan'!$G$7:$G$206)*(A262-'Project Plan'!$F$7:$F$206+1)/('Project Plan'!$G$7:$G$206-'Project Plan'!$F$7:$F$206+1))))/SUMPRODUCT(--('Project Plan'!$A$7:$A$206&lt;&gt;""),('Project Plan'!$P$7:$P$206+('Project Plan'!$P$7:$P$206=""))),0))</x:f>
      </x:c>
      <x:c r="C262" s="162" t="str">
        <x:f>IF(A262="","",IF(A262&gt;$F$2,"",IF(A262=$F$2,$H$2,IFERROR(LOOKUP(2,1/(($G$7:$G$106&lt;&gt;"")*($G$7:$G$106&lt;=A262)),$H$7:$H$106),""))))</x:f>
      </x:c>
      <x:c r="D262" s="162" t="str">
        <x:f>IF(C262="","",C262-B262)</x:f>
      </x:c>
      <x:c r="E262" s="163" t="str">
        <x:f>IF(D262="","",IF(D262&gt;=0,"On / Ahead",IF(D262&gt;=-0.05,"Watch","Behind")))</x:f>
      </x:c>
      <x:c r="J262"/>
      <x:c r="K262"/>
      <x:c r="L262"/>
      <x:c r="M262" t="str">
        <x:f>IF(A262="","",TEXT(A262,"mmm d"))</x:f>
      </x:c>
      <x:c r="N262" s="14" t="e">
        <x:f>IF(B262="",NA(),B262)</x:f>
        <x:v>#N/A</x:v>
      </x:c>
      <x:c r="O262" s="14" t="e">
        <x:f>IF(OR(P262="",$B$2="",$F$2="",P262&lt;$B$2,P262&gt;$F$2),NA(),IF(Q262=0,IF($F$2=$B$2,$H$2,MAX(0,MIN(1,$H$2*(3*MAX(0,MIN(1,(P262-$B$2)/($F$2-$B$2)))^2-2*MAX(0,MIN(1,(P262-$B$2)/($F$2-$B$2)))^3)))),MAX(0,MIN(1,T262+(V262-T262)*(3*W262^2-2*W262^3)))))</x:f>
        <x:v>#N/A</x:v>
      </x:c>
      <x:c r="P262" s="189" t="str">
        <x:f>A262</x:f>
      </x:c>
      <x:c r="Q262" t="n">
        <x:f>COUNT($G$7:$G$106)</x:f>
        <x:v>0</x:v>
      </x:c>
      <x:c r="R262" t="str">
        <x:f>IF(OR(P262="",$B$2="",$F$2="",P262&lt;$B$2,P262&gt;$F$2),"",IF(Q262=0,0,IF(P262&lt;$G$7,0,IF(P262&gt;=INDEX($G$7:$G$106,Q262),Q262,MATCH(P262,$G$7:$G$106,1)))))</x:f>
      </x:c>
      <x:c r="S262" t="str">
        <x:f>IF(R262="","",IF(R262=0,$B$2,INDEX($G$7:$G$106,R262)))</x:f>
      </x:c>
      <x:c r="T262" s="14" t="str">
        <x:f>IF(R262="","",IF(R262=0,0,INDEX($H$7:$H$106,R262)))</x:f>
      </x:c>
      <x:c r="U262" t="str">
        <x:f>IF(R262="","",IF(Q262=0,$F$2,IF(R262=0,$G$7,IF(R262&lt;Q262,INDEX($G$7:$G$106,R262+1),$F$2))))</x:f>
      </x:c>
      <x:c r="V262" s="14" t="str">
        <x:f>IF(R262="","",IF(Q262=0,$H$2,IF(R262=0,$H$7,IF(R262&lt;Q262,INDEX($H$7:$H$106,R262+1),$H$2))))</x:f>
      </x:c>
      <x:c r="W262" s="188" t="str">
        <x:f>IF(R262="","",IF(U262=S262,1,MAX(0,MIN(1,(P262-S262)/(U262-S262)))))</x:f>
      </x:c>
    </x:row>
    <x:row r="263">
      <x:c r="A263" s="159" t="str">
        <x:f>IF(OR(A262="",A262&gt;=$D$2),"",A262+1)</x:f>
      </x:c>
      <x:c r="B263" s="162" t="str">
        <x:f>IF(A263="","",IFERROR(SUMPRODUCT(--('Project Plan'!$A$7:$A$206&lt;&gt;""),('Project Plan'!$P$7:$P$206+('Project Plan'!$P$7:$P$206="")),--('Project Plan'!$F$7:$F$206&lt;&gt;""),--('Project Plan'!$G$7:$G$206&lt;&gt;""),((A263&gt;='Project Plan'!$G$7:$G$206)+((A263&gt;='Project Plan'!$F$7:$F$206)*(A263&lt;'Project Plan'!$G$7:$G$206)*(A263-'Project Plan'!$F$7:$F$206+1)/('Project Plan'!$G$7:$G$206-'Project Plan'!$F$7:$F$206+1))))/SUMPRODUCT(--('Project Plan'!$A$7:$A$206&lt;&gt;""),('Project Plan'!$P$7:$P$206+('Project Plan'!$P$7:$P$206=""))),0))</x:f>
      </x:c>
      <x:c r="C263" s="162" t="str">
        <x:f>IF(A263="","",IF(A263&gt;$F$2,"",IF(A263=$F$2,$H$2,IFERROR(LOOKUP(2,1/(($G$7:$G$106&lt;&gt;"")*($G$7:$G$106&lt;=A263)),$H$7:$H$106),""))))</x:f>
      </x:c>
      <x:c r="D263" s="162" t="str">
        <x:f>IF(C263="","",C263-B263)</x:f>
      </x:c>
      <x:c r="E263" s="163" t="str">
        <x:f>IF(D263="","",IF(D263&gt;=0,"On / Ahead",IF(D263&gt;=-0.05,"Watch","Behind")))</x:f>
      </x:c>
      <x:c r="J263"/>
      <x:c r="K263"/>
      <x:c r="L263"/>
      <x:c r="M263" t="str">
        <x:f>IF(A263="","",TEXT(A263,"mmm d"))</x:f>
      </x:c>
      <x:c r="N263" s="14" t="e">
        <x:f>IF(B263="",NA(),B263)</x:f>
        <x:v>#N/A</x:v>
      </x:c>
      <x:c r="O263" s="14" t="e">
        <x:f>IF(OR(P263="",$B$2="",$F$2="",P263&lt;$B$2,P263&gt;$F$2),NA(),IF(Q263=0,IF($F$2=$B$2,$H$2,MAX(0,MIN(1,$H$2*(3*MAX(0,MIN(1,(P263-$B$2)/($F$2-$B$2)))^2-2*MAX(0,MIN(1,(P263-$B$2)/($F$2-$B$2)))^3)))),MAX(0,MIN(1,T263+(V263-T263)*(3*W263^2-2*W263^3)))))</x:f>
        <x:v>#N/A</x:v>
      </x:c>
      <x:c r="P263" s="189" t="str">
        <x:f>A263</x:f>
      </x:c>
      <x:c r="Q263" t="n">
        <x:f>COUNT($G$7:$G$106)</x:f>
        <x:v>0</x:v>
      </x:c>
      <x:c r="R263" t="str">
        <x:f>IF(OR(P263="",$B$2="",$F$2="",P263&lt;$B$2,P263&gt;$F$2),"",IF(Q263=0,0,IF(P263&lt;$G$7,0,IF(P263&gt;=INDEX($G$7:$G$106,Q263),Q263,MATCH(P263,$G$7:$G$106,1)))))</x:f>
      </x:c>
      <x:c r="S263" t="str">
        <x:f>IF(R263="","",IF(R263=0,$B$2,INDEX($G$7:$G$106,R263)))</x:f>
      </x:c>
      <x:c r="T263" s="14" t="str">
        <x:f>IF(R263="","",IF(R263=0,0,INDEX($H$7:$H$106,R263)))</x:f>
      </x:c>
      <x:c r="U263" t="str">
        <x:f>IF(R263="","",IF(Q263=0,$F$2,IF(R263=0,$G$7,IF(R263&lt;Q263,INDEX($G$7:$G$106,R263+1),$F$2))))</x:f>
      </x:c>
      <x:c r="V263" s="14" t="str">
        <x:f>IF(R263="","",IF(Q263=0,$H$2,IF(R263=0,$H$7,IF(R263&lt;Q263,INDEX($H$7:$H$106,R263+1),$H$2))))</x:f>
      </x:c>
      <x:c r="W263" s="188" t="str">
        <x:f>IF(R263="","",IF(U263=S263,1,MAX(0,MIN(1,(P263-S263)/(U263-S263)))))</x:f>
      </x:c>
    </x:row>
    <x:row r="264">
      <x:c r="A264" s="159" t="str">
        <x:f>IF(OR(A263="",A263&gt;=$D$2),"",A263+1)</x:f>
      </x:c>
      <x:c r="B264" s="162" t="str">
        <x:f>IF(A264="","",IFERROR(SUMPRODUCT(--('Project Plan'!$A$7:$A$206&lt;&gt;""),('Project Plan'!$P$7:$P$206+('Project Plan'!$P$7:$P$206="")),--('Project Plan'!$F$7:$F$206&lt;&gt;""),--('Project Plan'!$G$7:$G$206&lt;&gt;""),((A264&gt;='Project Plan'!$G$7:$G$206)+((A264&gt;='Project Plan'!$F$7:$F$206)*(A264&lt;'Project Plan'!$G$7:$G$206)*(A264-'Project Plan'!$F$7:$F$206+1)/('Project Plan'!$G$7:$G$206-'Project Plan'!$F$7:$F$206+1))))/SUMPRODUCT(--('Project Plan'!$A$7:$A$206&lt;&gt;""),('Project Plan'!$P$7:$P$206+('Project Plan'!$P$7:$P$206=""))),0))</x:f>
      </x:c>
      <x:c r="C264" s="162" t="str">
        <x:f>IF(A264="","",IF(A264&gt;$F$2,"",IF(A264=$F$2,$H$2,IFERROR(LOOKUP(2,1/(($G$7:$G$106&lt;&gt;"")*($G$7:$G$106&lt;=A264)),$H$7:$H$106),""))))</x:f>
      </x:c>
      <x:c r="D264" s="162" t="str">
        <x:f>IF(C264="","",C264-B264)</x:f>
      </x:c>
      <x:c r="E264" s="163" t="str">
        <x:f>IF(D264="","",IF(D264&gt;=0,"On / Ahead",IF(D264&gt;=-0.05,"Watch","Behind")))</x:f>
      </x:c>
      <x:c r="J264"/>
      <x:c r="K264"/>
      <x:c r="L264"/>
      <x:c r="M264" t="str">
        <x:f>IF(A264="","",TEXT(A264,"mmm d"))</x:f>
      </x:c>
      <x:c r="N264" s="14" t="e">
        <x:f>IF(B264="",NA(),B264)</x:f>
        <x:v>#N/A</x:v>
      </x:c>
      <x:c r="O264" s="14" t="e">
        <x:f>IF(OR(P264="",$B$2="",$F$2="",P264&lt;$B$2,P264&gt;$F$2),NA(),IF(Q264=0,IF($F$2=$B$2,$H$2,MAX(0,MIN(1,$H$2*(3*MAX(0,MIN(1,(P264-$B$2)/($F$2-$B$2)))^2-2*MAX(0,MIN(1,(P264-$B$2)/($F$2-$B$2)))^3)))),MAX(0,MIN(1,T264+(V264-T264)*(3*W264^2-2*W264^3)))))</x:f>
        <x:v>#N/A</x:v>
      </x:c>
      <x:c r="P264" s="189" t="str">
        <x:f>A264</x:f>
      </x:c>
      <x:c r="Q264" t="n">
        <x:f>COUNT($G$7:$G$106)</x:f>
        <x:v>0</x:v>
      </x:c>
      <x:c r="R264" t="str">
        <x:f>IF(OR(P264="",$B$2="",$F$2="",P264&lt;$B$2,P264&gt;$F$2),"",IF(Q264=0,0,IF(P264&lt;$G$7,0,IF(P264&gt;=INDEX($G$7:$G$106,Q264),Q264,MATCH(P264,$G$7:$G$106,1)))))</x:f>
      </x:c>
      <x:c r="S264" t="str">
        <x:f>IF(R264="","",IF(R264=0,$B$2,INDEX($G$7:$G$106,R264)))</x:f>
      </x:c>
      <x:c r="T264" s="14" t="str">
        <x:f>IF(R264="","",IF(R264=0,0,INDEX($H$7:$H$106,R264)))</x:f>
      </x:c>
      <x:c r="U264" t="str">
        <x:f>IF(R264="","",IF(Q264=0,$F$2,IF(R264=0,$G$7,IF(R264&lt;Q264,INDEX($G$7:$G$106,R264+1),$F$2))))</x:f>
      </x:c>
      <x:c r="V264" s="14" t="str">
        <x:f>IF(R264="","",IF(Q264=0,$H$2,IF(R264=0,$H$7,IF(R264&lt;Q264,INDEX($H$7:$H$106,R264+1),$H$2))))</x:f>
      </x:c>
      <x:c r="W264" s="188" t="str">
        <x:f>IF(R264="","",IF(U264=S264,1,MAX(0,MIN(1,(P264-S264)/(U264-S264)))))</x:f>
      </x:c>
    </x:row>
    <x:row r="265">
      <x:c r="A265" s="159" t="str">
        <x:f>IF(OR(A264="",A264&gt;=$D$2),"",A264+1)</x:f>
      </x:c>
      <x:c r="B265" s="162" t="str">
        <x:f>IF(A265="","",IFERROR(SUMPRODUCT(--('Project Plan'!$A$7:$A$206&lt;&gt;""),('Project Plan'!$P$7:$P$206+('Project Plan'!$P$7:$P$206="")),--('Project Plan'!$F$7:$F$206&lt;&gt;""),--('Project Plan'!$G$7:$G$206&lt;&gt;""),((A265&gt;='Project Plan'!$G$7:$G$206)+((A265&gt;='Project Plan'!$F$7:$F$206)*(A265&lt;'Project Plan'!$G$7:$G$206)*(A265-'Project Plan'!$F$7:$F$206+1)/('Project Plan'!$G$7:$G$206-'Project Plan'!$F$7:$F$206+1))))/SUMPRODUCT(--('Project Plan'!$A$7:$A$206&lt;&gt;""),('Project Plan'!$P$7:$P$206+('Project Plan'!$P$7:$P$206=""))),0))</x:f>
      </x:c>
      <x:c r="C265" s="162" t="str">
        <x:f>IF(A265="","",IF(A265&gt;$F$2,"",IF(A265=$F$2,$H$2,IFERROR(LOOKUP(2,1/(($G$7:$G$106&lt;&gt;"")*($G$7:$G$106&lt;=A265)),$H$7:$H$106),""))))</x:f>
      </x:c>
      <x:c r="D265" s="162" t="str">
        <x:f>IF(C265="","",C265-B265)</x:f>
      </x:c>
      <x:c r="E265" s="163" t="str">
        <x:f>IF(D265="","",IF(D265&gt;=0,"On / Ahead",IF(D265&gt;=-0.05,"Watch","Behind")))</x:f>
      </x:c>
      <x:c r="J265"/>
      <x:c r="K265"/>
      <x:c r="L265"/>
      <x:c r="M265" t="str">
        <x:f>IF(A265="","",TEXT(A265,"mmm d"))</x:f>
      </x:c>
      <x:c r="N265" s="14" t="e">
        <x:f>IF(B265="",NA(),B265)</x:f>
        <x:v>#N/A</x:v>
      </x:c>
      <x:c r="O265" s="14" t="e">
        <x:f>IF(OR(P265="",$B$2="",$F$2="",P265&lt;$B$2,P265&gt;$F$2),NA(),IF(Q265=0,IF($F$2=$B$2,$H$2,MAX(0,MIN(1,$H$2*(3*MAX(0,MIN(1,(P265-$B$2)/($F$2-$B$2)))^2-2*MAX(0,MIN(1,(P265-$B$2)/($F$2-$B$2)))^3)))),MAX(0,MIN(1,T265+(V265-T265)*(3*W265^2-2*W265^3)))))</x:f>
        <x:v>#N/A</x:v>
      </x:c>
      <x:c r="P265" s="189" t="str">
        <x:f>A265</x:f>
      </x:c>
      <x:c r="Q265" t="n">
        <x:f>COUNT($G$7:$G$106)</x:f>
        <x:v>0</x:v>
      </x:c>
      <x:c r="R265" t="str">
        <x:f>IF(OR(P265="",$B$2="",$F$2="",P265&lt;$B$2,P265&gt;$F$2),"",IF(Q265=0,0,IF(P265&lt;$G$7,0,IF(P265&gt;=INDEX($G$7:$G$106,Q265),Q265,MATCH(P265,$G$7:$G$106,1)))))</x:f>
      </x:c>
      <x:c r="S265" t="str">
        <x:f>IF(R265="","",IF(R265=0,$B$2,INDEX($G$7:$G$106,R265)))</x:f>
      </x:c>
      <x:c r="T265" s="14" t="str">
        <x:f>IF(R265="","",IF(R265=0,0,INDEX($H$7:$H$106,R265)))</x:f>
      </x:c>
      <x:c r="U265" t="str">
        <x:f>IF(R265="","",IF(Q265=0,$F$2,IF(R265=0,$G$7,IF(R265&lt;Q265,INDEX($G$7:$G$106,R265+1),$F$2))))</x:f>
      </x:c>
      <x:c r="V265" s="14" t="str">
        <x:f>IF(R265="","",IF(Q265=0,$H$2,IF(R265=0,$H$7,IF(R265&lt;Q265,INDEX($H$7:$H$106,R265+1),$H$2))))</x:f>
      </x:c>
      <x:c r="W265" s="188" t="str">
        <x:f>IF(R265="","",IF(U265=S265,1,MAX(0,MIN(1,(P265-S265)/(U265-S265)))))</x:f>
      </x:c>
    </x:row>
    <x:row r="266">
      <x:c r="A266" s="159" t="str">
        <x:f>IF(OR(A265="",A265&gt;=$D$2),"",A265+1)</x:f>
      </x:c>
      <x:c r="B266" s="162" t="str">
        <x:f>IF(A266="","",IFERROR(SUMPRODUCT(--('Project Plan'!$A$7:$A$206&lt;&gt;""),('Project Plan'!$P$7:$P$206+('Project Plan'!$P$7:$P$206="")),--('Project Plan'!$F$7:$F$206&lt;&gt;""),--('Project Plan'!$G$7:$G$206&lt;&gt;""),((A266&gt;='Project Plan'!$G$7:$G$206)+((A266&gt;='Project Plan'!$F$7:$F$206)*(A266&lt;'Project Plan'!$G$7:$G$206)*(A266-'Project Plan'!$F$7:$F$206+1)/('Project Plan'!$G$7:$G$206-'Project Plan'!$F$7:$F$206+1))))/SUMPRODUCT(--('Project Plan'!$A$7:$A$206&lt;&gt;""),('Project Plan'!$P$7:$P$206+('Project Plan'!$P$7:$P$206=""))),0))</x:f>
      </x:c>
      <x:c r="C266" s="162" t="str">
        <x:f>IF(A266="","",IF(A266&gt;$F$2,"",IF(A266=$F$2,$H$2,IFERROR(LOOKUP(2,1/(($G$7:$G$106&lt;&gt;"")*($G$7:$G$106&lt;=A266)),$H$7:$H$106),""))))</x:f>
      </x:c>
      <x:c r="D266" s="162" t="str">
        <x:f>IF(C266="","",C266-B266)</x:f>
      </x:c>
      <x:c r="E266" s="163" t="str">
        <x:f>IF(D266="","",IF(D266&gt;=0,"On / Ahead",IF(D266&gt;=-0.05,"Watch","Behind")))</x:f>
      </x:c>
      <x:c r="J266"/>
      <x:c r="K266"/>
      <x:c r="L266"/>
      <x:c r="M266" t="str">
        <x:f>IF(A266="","",TEXT(A266,"mmm d"))</x:f>
      </x:c>
      <x:c r="N266" s="14" t="e">
        <x:f>IF(B266="",NA(),B266)</x:f>
        <x:v>#N/A</x:v>
      </x:c>
      <x:c r="O266" s="14" t="e">
        <x:f>IF(OR(P266="",$B$2="",$F$2="",P266&lt;$B$2,P266&gt;$F$2),NA(),IF(Q266=0,IF($F$2=$B$2,$H$2,MAX(0,MIN(1,$H$2*(3*MAX(0,MIN(1,(P266-$B$2)/($F$2-$B$2)))^2-2*MAX(0,MIN(1,(P266-$B$2)/($F$2-$B$2)))^3)))),MAX(0,MIN(1,T266+(V266-T266)*(3*W266^2-2*W266^3)))))</x:f>
        <x:v>#N/A</x:v>
      </x:c>
      <x:c r="P266" s="189" t="str">
        <x:f>A266</x:f>
      </x:c>
      <x:c r="Q266" t="n">
        <x:f>COUNT($G$7:$G$106)</x:f>
        <x:v>0</x:v>
      </x:c>
      <x:c r="R266" t="str">
        <x:f>IF(OR(P266="",$B$2="",$F$2="",P266&lt;$B$2,P266&gt;$F$2),"",IF(Q266=0,0,IF(P266&lt;$G$7,0,IF(P266&gt;=INDEX($G$7:$G$106,Q266),Q266,MATCH(P266,$G$7:$G$106,1)))))</x:f>
      </x:c>
      <x:c r="S266" t="str">
        <x:f>IF(R266="","",IF(R266=0,$B$2,INDEX($G$7:$G$106,R266)))</x:f>
      </x:c>
      <x:c r="T266" s="14" t="str">
        <x:f>IF(R266="","",IF(R266=0,0,INDEX($H$7:$H$106,R266)))</x:f>
      </x:c>
      <x:c r="U266" t="str">
        <x:f>IF(R266="","",IF(Q266=0,$F$2,IF(R266=0,$G$7,IF(R266&lt;Q266,INDEX($G$7:$G$106,R266+1),$F$2))))</x:f>
      </x:c>
      <x:c r="V266" s="14" t="str">
        <x:f>IF(R266="","",IF(Q266=0,$H$2,IF(R266=0,$H$7,IF(R266&lt;Q266,INDEX($H$7:$H$106,R266+1),$H$2))))</x:f>
      </x:c>
      <x:c r="W266" s="188" t="str">
        <x:f>IF(R266="","",IF(U266=S266,1,MAX(0,MIN(1,(P266-S266)/(U266-S266)))))</x:f>
      </x:c>
    </x:row>
    <x:row r="267">
      <x:c r="A267" s="159" t="str">
        <x:f>IF(OR(A266="",A266&gt;=$D$2),"",A266+1)</x:f>
      </x:c>
      <x:c r="B267" s="162" t="str">
        <x:f>IF(A267="","",IFERROR(SUMPRODUCT(--('Project Plan'!$A$7:$A$206&lt;&gt;""),('Project Plan'!$P$7:$P$206+('Project Plan'!$P$7:$P$206="")),--('Project Plan'!$F$7:$F$206&lt;&gt;""),--('Project Plan'!$G$7:$G$206&lt;&gt;""),((A267&gt;='Project Plan'!$G$7:$G$206)+((A267&gt;='Project Plan'!$F$7:$F$206)*(A267&lt;'Project Plan'!$G$7:$G$206)*(A267-'Project Plan'!$F$7:$F$206+1)/('Project Plan'!$G$7:$G$206-'Project Plan'!$F$7:$F$206+1))))/SUMPRODUCT(--('Project Plan'!$A$7:$A$206&lt;&gt;""),('Project Plan'!$P$7:$P$206+('Project Plan'!$P$7:$P$206=""))),0))</x:f>
      </x:c>
      <x:c r="C267" s="162" t="str">
        <x:f>IF(A267="","",IF(A267&gt;$F$2,"",IF(A267=$F$2,$H$2,IFERROR(LOOKUP(2,1/(($G$7:$G$106&lt;&gt;"")*($G$7:$G$106&lt;=A267)),$H$7:$H$106),""))))</x:f>
      </x:c>
      <x:c r="D267" s="162" t="str">
        <x:f>IF(C267="","",C267-B267)</x:f>
      </x:c>
      <x:c r="E267" s="163" t="str">
        <x:f>IF(D267="","",IF(D267&gt;=0,"On / Ahead",IF(D267&gt;=-0.05,"Watch","Behind")))</x:f>
      </x:c>
      <x:c r="J267"/>
      <x:c r="K267"/>
      <x:c r="L267"/>
      <x:c r="M267" t="str">
        <x:f>IF(A267="","",TEXT(A267,"mmm d"))</x:f>
      </x:c>
      <x:c r="N267" s="14" t="e">
        <x:f>IF(B267="",NA(),B267)</x:f>
        <x:v>#N/A</x:v>
      </x:c>
      <x:c r="O267" s="14" t="e">
        <x:f>IF(OR(P267="",$B$2="",$F$2="",P267&lt;$B$2,P267&gt;$F$2),NA(),IF(Q267=0,IF($F$2=$B$2,$H$2,MAX(0,MIN(1,$H$2*(3*MAX(0,MIN(1,(P267-$B$2)/($F$2-$B$2)))^2-2*MAX(0,MIN(1,(P267-$B$2)/($F$2-$B$2)))^3)))),MAX(0,MIN(1,T267+(V267-T267)*(3*W267^2-2*W267^3)))))</x:f>
        <x:v>#N/A</x:v>
      </x:c>
      <x:c r="P267" s="189" t="str">
        <x:f>A267</x:f>
      </x:c>
      <x:c r="Q267" t="n">
        <x:f>COUNT($G$7:$G$106)</x:f>
        <x:v>0</x:v>
      </x:c>
      <x:c r="R267" t="str">
        <x:f>IF(OR(P267="",$B$2="",$F$2="",P267&lt;$B$2,P267&gt;$F$2),"",IF(Q267=0,0,IF(P267&lt;$G$7,0,IF(P267&gt;=INDEX($G$7:$G$106,Q267),Q267,MATCH(P267,$G$7:$G$106,1)))))</x:f>
      </x:c>
      <x:c r="S267" t="str">
        <x:f>IF(R267="","",IF(R267=0,$B$2,INDEX($G$7:$G$106,R267)))</x:f>
      </x:c>
      <x:c r="T267" s="14" t="str">
        <x:f>IF(R267="","",IF(R267=0,0,INDEX($H$7:$H$106,R267)))</x:f>
      </x:c>
      <x:c r="U267" t="str">
        <x:f>IF(R267="","",IF(Q267=0,$F$2,IF(R267=0,$G$7,IF(R267&lt;Q267,INDEX($G$7:$G$106,R267+1),$F$2))))</x:f>
      </x:c>
      <x:c r="V267" s="14" t="str">
        <x:f>IF(R267="","",IF(Q267=0,$H$2,IF(R267=0,$H$7,IF(R267&lt;Q267,INDEX($H$7:$H$106,R267+1),$H$2))))</x:f>
      </x:c>
      <x:c r="W267" s="188" t="str">
        <x:f>IF(R267="","",IF(U267=S267,1,MAX(0,MIN(1,(P267-S267)/(U267-S267)))))</x:f>
      </x:c>
    </x:row>
    <x:row r="268">
      <x:c r="A268" s="159" t="str">
        <x:f>IF(OR(A267="",A267&gt;=$D$2),"",A267+1)</x:f>
      </x:c>
      <x:c r="B268" s="162" t="str">
        <x:f>IF(A268="","",IFERROR(SUMPRODUCT(--('Project Plan'!$A$7:$A$206&lt;&gt;""),('Project Plan'!$P$7:$P$206+('Project Plan'!$P$7:$P$206="")),--('Project Plan'!$F$7:$F$206&lt;&gt;""),--('Project Plan'!$G$7:$G$206&lt;&gt;""),((A268&gt;='Project Plan'!$G$7:$G$206)+((A268&gt;='Project Plan'!$F$7:$F$206)*(A268&lt;'Project Plan'!$G$7:$G$206)*(A268-'Project Plan'!$F$7:$F$206+1)/('Project Plan'!$G$7:$G$206-'Project Plan'!$F$7:$F$206+1))))/SUMPRODUCT(--('Project Plan'!$A$7:$A$206&lt;&gt;""),('Project Plan'!$P$7:$P$206+('Project Plan'!$P$7:$P$206=""))),0))</x:f>
      </x:c>
      <x:c r="C268" s="162" t="str">
        <x:f>IF(A268="","",IF(A268&gt;$F$2,"",IF(A268=$F$2,$H$2,IFERROR(LOOKUP(2,1/(($G$7:$G$106&lt;&gt;"")*($G$7:$G$106&lt;=A268)),$H$7:$H$106),""))))</x:f>
      </x:c>
      <x:c r="D268" s="162" t="str">
        <x:f>IF(C268="","",C268-B268)</x:f>
      </x:c>
      <x:c r="E268" s="163" t="str">
        <x:f>IF(D268="","",IF(D268&gt;=0,"On / Ahead",IF(D268&gt;=-0.05,"Watch","Behind")))</x:f>
      </x:c>
      <x:c r="J268"/>
      <x:c r="K268"/>
      <x:c r="L268"/>
      <x:c r="M268" t="str">
        <x:f>IF(A268="","",TEXT(A268,"mmm d"))</x:f>
      </x:c>
      <x:c r="N268" s="14" t="e">
        <x:f>IF(B268="",NA(),B268)</x:f>
        <x:v>#N/A</x:v>
      </x:c>
      <x:c r="O268" s="14" t="e">
        <x:f>IF(OR(P268="",$B$2="",$F$2="",P268&lt;$B$2,P268&gt;$F$2),NA(),IF(Q268=0,IF($F$2=$B$2,$H$2,MAX(0,MIN(1,$H$2*(3*MAX(0,MIN(1,(P268-$B$2)/($F$2-$B$2)))^2-2*MAX(0,MIN(1,(P268-$B$2)/($F$2-$B$2)))^3)))),MAX(0,MIN(1,T268+(V268-T268)*(3*W268^2-2*W268^3)))))</x:f>
        <x:v>#N/A</x:v>
      </x:c>
      <x:c r="P268" s="189" t="str">
        <x:f>A268</x:f>
      </x:c>
      <x:c r="Q268" t="n">
        <x:f>COUNT($G$7:$G$106)</x:f>
        <x:v>0</x:v>
      </x:c>
      <x:c r="R268" t="str">
        <x:f>IF(OR(P268="",$B$2="",$F$2="",P268&lt;$B$2,P268&gt;$F$2),"",IF(Q268=0,0,IF(P268&lt;$G$7,0,IF(P268&gt;=INDEX($G$7:$G$106,Q268),Q268,MATCH(P268,$G$7:$G$106,1)))))</x:f>
      </x:c>
      <x:c r="S268" t="str">
        <x:f>IF(R268="","",IF(R268=0,$B$2,INDEX($G$7:$G$106,R268)))</x:f>
      </x:c>
      <x:c r="T268" s="14" t="str">
        <x:f>IF(R268="","",IF(R268=0,0,INDEX($H$7:$H$106,R268)))</x:f>
      </x:c>
      <x:c r="U268" t="str">
        <x:f>IF(R268="","",IF(Q268=0,$F$2,IF(R268=0,$G$7,IF(R268&lt;Q268,INDEX($G$7:$G$106,R268+1),$F$2))))</x:f>
      </x:c>
      <x:c r="V268" s="14" t="str">
        <x:f>IF(R268="","",IF(Q268=0,$H$2,IF(R268=0,$H$7,IF(R268&lt;Q268,INDEX($H$7:$H$106,R268+1),$H$2))))</x:f>
      </x:c>
      <x:c r="W268" s="188" t="str">
        <x:f>IF(R268="","",IF(U268=S268,1,MAX(0,MIN(1,(P268-S268)/(U268-S268)))))</x:f>
      </x:c>
    </x:row>
    <x:row r="269">
      <x:c r="A269" s="159" t="str">
        <x:f>IF(OR(A268="",A268&gt;=$D$2),"",A268+1)</x:f>
      </x:c>
      <x:c r="B269" s="162" t="str">
        <x:f>IF(A269="","",IFERROR(SUMPRODUCT(--('Project Plan'!$A$7:$A$206&lt;&gt;""),('Project Plan'!$P$7:$P$206+('Project Plan'!$P$7:$P$206="")),--('Project Plan'!$F$7:$F$206&lt;&gt;""),--('Project Plan'!$G$7:$G$206&lt;&gt;""),((A269&gt;='Project Plan'!$G$7:$G$206)+((A269&gt;='Project Plan'!$F$7:$F$206)*(A269&lt;'Project Plan'!$G$7:$G$206)*(A269-'Project Plan'!$F$7:$F$206+1)/('Project Plan'!$G$7:$G$206-'Project Plan'!$F$7:$F$206+1))))/SUMPRODUCT(--('Project Plan'!$A$7:$A$206&lt;&gt;""),('Project Plan'!$P$7:$P$206+('Project Plan'!$P$7:$P$206=""))),0))</x:f>
      </x:c>
      <x:c r="C269" s="162" t="str">
        <x:f>IF(A269="","",IF(A269&gt;$F$2,"",IF(A269=$F$2,$H$2,IFERROR(LOOKUP(2,1/(($G$7:$G$106&lt;&gt;"")*($G$7:$G$106&lt;=A269)),$H$7:$H$106),""))))</x:f>
      </x:c>
      <x:c r="D269" s="162" t="str">
        <x:f>IF(C269="","",C269-B269)</x:f>
      </x:c>
      <x:c r="E269" s="163" t="str">
        <x:f>IF(D269="","",IF(D269&gt;=0,"On / Ahead",IF(D269&gt;=-0.05,"Watch","Behind")))</x:f>
      </x:c>
      <x:c r="J269"/>
      <x:c r="K269"/>
      <x:c r="L269"/>
      <x:c r="M269" t="str">
        <x:f>IF(A269="","",TEXT(A269,"mmm d"))</x:f>
      </x:c>
      <x:c r="N269" s="14" t="e">
        <x:f>IF(B269="",NA(),B269)</x:f>
        <x:v>#N/A</x:v>
      </x:c>
      <x:c r="O269" s="14" t="e">
        <x:f>IF(OR(P269="",$B$2="",$F$2="",P269&lt;$B$2,P269&gt;$F$2),NA(),IF(Q269=0,IF($F$2=$B$2,$H$2,MAX(0,MIN(1,$H$2*(3*MAX(0,MIN(1,(P269-$B$2)/($F$2-$B$2)))^2-2*MAX(0,MIN(1,(P269-$B$2)/($F$2-$B$2)))^3)))),MAX(0,MIN(1,T269+(V269-T269)*(3*W269^2-2*W269^3)))))</x:f>
        <x:v>#N/A</x:v>
      </x:c>
      <x:c r="P269" s="189" t="str">
        <x:f>A269</x:f>
      </x:c>
      <x:c r="Q269" t="n">
        <x:f>COUNT($G$7:$G$106)</x:f>
        <x:v>0</x:v>
      </x:c>
      <x:c r="R269" t="str">
        <x:f>IF(OR(P269="",$B$2="",$F$2="",P269&lt;$B$2,P269&gt;$F$2),"",IF(Q269=0,0,IF(P269&lt;$G$7,0,IF(P269&gt;=INDEX($G$7:$G$106,Q269),Q269,MATCH(P269,$G$7:$G$106,1)))))</x:f>
      </x:c>
      <x:c r="S269" t="str">
        <x:f>IF(R269="","",IF(R269=0,$B$2,INDEX($G$7:$G$106,R269)))</x:f>
      </x:c>
      <x:c r="T269" s="14" t="str">
        <x:f>IF(R269="","",IF(R269=0,0,INDEX($H$7:$H$106,R269)))</x:f>
      </x:c>
      <x:c r="U269" t="str">
        <x:f>IF(R269="","",IF(Q269=0,$F$2,IF(R269=0,$G$7,IF(R269&lt;Q269,INDEX($G$7:$G$106,R269+1),$F$2))))</x:f>
      </x:c>
      <x:c r="V269" s="14" t="str">
        <x:f>IF(R269="","",IF(Q269=0,$H$2,IF(R269=0,$H$7,IF(R269&lt;Q269,INDEX($H$7:$H$106,R269+1),$H$2))))</x:f>
      </x:c>
      <x:c r="W269" s="188" t="str">
        <x:f>IF(R269="","",IF(U269=S269,1,MAX(0,MIN(1,(P269-S269)/(U269-S269)))))</x:f>
      </x:c>
    </x:row>
    <x:row r="270">
      <x:c r="A270" s="159" t="str">
        <x:f>IF(OR(A269="",A269&gt;=$D$2),"",A269+1)</x:f>
      </x:c>
      <x:c r="B270" s="162" t="str">
        <x:f>IF(A270="","",IFERROR(SUMPRODUCT(--('Project Plan'!$A$7:$A$206&lt;&gt;""),('Project Plan'!$P$7:$P$206+('Project Plan'!$P$7:$P$206="")),--('Project Plan'!$F$7:$F$206&lt;&gt;""),--('Project Plan'!$G$7:$G$206&lt;&gt;""),((A270&gt;='Project Plan'!$G$7:$G$206)+((A270&gt;='Project Plan'!$F$7:$F$206)*(A270&lt;'Project Plan'!$G$7:$G$206)*(A270-'Project Plan'!$F$7:$F$206+1)/('Project Plan'!$G$7:$G$206-'Project Plan'!$F$7:$F$206+1))))/SUMPRODUCT(--('Project Plan'!$A$7:$A$206&lt;&gt;""),('Project Plan'!$P$7:$P$206+('Project Plan'!$P$7:$P$206=""))),0))</x:f>
      </x:c>
      <x:c r="C270" s="162" t="str">
        <x:f>IF(A270="","",IF(A270&gt;$F$2,"",IF(A270=$F$2,$H$2,IFERROR(LOOKUP(2,1/(($G$7:$G$106&lt;&gt;"")*($G$7:$G$106&lt;=A270)),$H$7:$H$106),""))))</x:f>
      </x:c>
      <x:c r="D270" s="162" t="str">
        <x:f>IF(C270="","",C270-B270)</x:f>
      </x:c>
      <x:c r="E270" s="163" t="str">
        <x:f>IF(D270="","",IF(D270&gt;=0,"On / Ahead",IF(D270&gt;=-0.05,"Watch","Behind")))</x:f>
      </x:c>
      <x:c r="J270"/>
      <x:c r="K270"/>
      <x:c r="L270"/>
      <x:c r="M270" t="str">
        <x:f>IF(A270="","",TEXT(A270,"mmm d"))</x:f>
      </x:c>
      <x:c r="N270" s="14" t="e">
        <x:f>IF(B270="",NA(),B270)</x:f>
        <x:v>#N/A</x:v>
      </x:c>
      <x:c r="O270" s="14" t="e">
        <x:f>IF(OR(P270="",$B$2="",$F$2="",P270&lt;$B$2,P270&gt;$F$2),NA(),IF(Q270=0,IF($F$2=$B$2,$H$2,MAX(0,MIN(1,$H$2*(3*MAX(0,MIN(1,(P270-$B$2)/($F$2-$B$2)))^2-2*MAX(0,MIN(1,(P270-$B$2)/($F$2-$B$2)))^3)))),MAX(0,MIN(1,T270+(V270-T270)*(3*W270^2-2*W270^3)))))</x:f>
        <x:v>#N/A</x:v>
      </x:c>
      <x:c r="P270" s="189" t="str">
        <x:f>A270</x:f>
      </x:c>
      <x:c r="Q270" t="n">
        <x:f>COUNT($G$7:$G$106)</x:f>
        <x:v>0</x:v>
      </x:c>
      <x:c r="R270" t="str">
        <x:f>IF(OR(P270="",$B$2="",$F$2="",P270&lt;$B$2,P270&gt;$F$2),"",IF(Q270=0,0,IF(P270&lt;$G$7,0,IF(P270&gt;=INDEX($G$7:$G$106,Q270),Q270,MATCH(P270,$G$7:$G$106,1)))))</x:f>
      </x:c>
      <x:c r="S270" t="str">
        <x:f>IF(R270="","",IF(R270=0,$B$2,INDEX($G$7:$G$106,R270)))</x:f>
      </x:c>
      <x:c r="T270" s="14" t="str">
        <x:f>IF(R270="","",IF(R270=0,0,INDEX($H$7:$H$106,R270)))</x:f>
      </x:c>
      <x:c r="U270" t="str">
        <x:f>IF(R270="","",IF(Q270=0,$F$2,IF(R270=0,$G$7,IF(R270&lt;Q270,INDEX($G$7:$G$106,R270+1),$F$2))))</x:f>
      </x:c>
      <x:c r="V270" s="14" t="str">
        <x:f>IF(R270="","",IF(Q270=0,$H$2,IF(R270=0,$H$7,IF(R270&lt;Q270,INDEX($H$7:$H$106,R270+1),$H$2))))</x:f>
      </x:c>
      <x:c r="W270" s="188" t="str">
        <x:f>IF(R270="","",IF(U270=S270,1,MAX(0,MIN(1,(P270-S270)/(U270-S270)))))</x:f>
      </x:c>
    </x:row>
    <x:row r="271">
      <x:c r="A271" s="159" t="str">
        <x:f>IF(OR(A270="",A270&gt;=$D$2),"",A270+1)</x:f>
      </x:c>
      <x:c r="B271" s="162" t="str">
        <x:f>IF(A271="","",IFERROR(SUMPRODUCT(--('Project Plan'!$A$7:$A$206&lt;&gt;""),('Project Plan'!$P$7:$P$206+('Project Plan'!$P$7:$P$206="")),--('Project Plan'!$F$7:$F$206&lt;&gt;""),--('Project Plan'!$G$7:$G$206&lt;&gt;""),((A271&gt;='Project Plan'!$G$7:$G$206)+((A271&gt;='Project Plan'!$F$7:$F$206)*(A271&lt;'Project Plan'!$G$7:$G$206)*(A271-'Project Plan'!$F$7:$F$206+1)/('Project Plan'!$G$7:$G$206-'Project Plan'!$F$7:$F$206+1))))/SUMPRODUCT(--('Project Plan'!$A$7:$A$206&lt;&gt;""),('Project Plan'!$P$7:$P$206+('Project Plan'!$P$7:$P$206=""))),0))</x:f>
      </x:c>
      <x:c r="C271" s="162" t="str">
        <x:f>IF(A271="","",IF(A271&gt;$F$2,"",IF(A271=$F$2,$H$2,IFERROR(LOOKUP(2,1/(($G$7:$G$106&lt;&gt;"")*($G$7:$G$106&lt;=A271)),$H$7:$H$106),""))))</x:f>
      </x:c>
      <x:c r="D271" s="162" t="str">
        <x:f>IF(C271="","",C271-B271)</x:f>
      </x:c>
      <x:c r="E271" s="163" t="str">
        <x:f>IF(D271="","",IF(D271&gt;=0,"On / Ahead",IF(D271&gt;=-0.05,"Watch","Behind")))</x:f>
      </x:c>
      <x:c r="J271"/>
      <x:c r="K271"/>
      <x:c r="L271"/>
      <x:c r="M271" t="str">
        <x:f>IF(A271="","",TEXT(A271,"mmm d"))</x:f>
      </x:c>
      <x:c r="N271" s="14" t="e">
        <x:f>IF(B271="",NA(),B271)</x:f>
        <x:v>#N/A</x:v>
      </x:c>
      <x:c r="O271" s="14" t="e">
        <x:f>IF(OR(P271="",$B$2="",$F$2="",P271&lt;$B$2,P271&gt;$F$2),NA(),IF(Q271=0,IF($F$2=$B$2,$H$2,MAX(0,MIN(1,$H$2*(3*MAX(0,MIN(1,(P271-$B$2)/($F$2-$B$2)))^2-2*MAX(0,MIN(1,(P271-$B$2)/($F$2-$B$2)))^3)))),MAX(0,MIN(1,T271+(V271-T271)*(3*W271^2-2*W271^3)))))</x:f>
        <x:v>#N/A</x:v>
      </x:c>
      <x:c r="P271" s="189" t="str">
        <x:f>A271</x:f>
      </x:c>
      <x:c r="Q271" t="n">
        <x:f>COUNT($G$7:$G$106)</x:f>
        <x:v>0</x:v>
      </x:c>
      <x:c r="R271" t="str">
        <x:f>IF(OR(P271="",$B$2="",$F$2="",P271&lt;$B$2,P271&gt;$F$2),"",IF(Q271=0,0,IF(P271&lt;$G$7,0,IF(P271&gt;=INDEX($G$7:$G$106,Q271),Q271,MATCH(P271,$G$7:$G$106,1)))))</x:f>
      </x:c>
      <x:c r="S271" t="str">
        <x:f>IF(R271="","",IF(R271=0,$B$2,INDEX($G$7:$G$106,R271)))</x:f>
      </x:c>
      <x:c r="T271" s="14" t="str">
        <x:f>IF(R271="","",IF(R271=0,0,INDEX($H$7:$H$106,R271)))</x:f>
      </x:c>
      <x:c r="U271" t="str">
        <x:f>IF(R271="","",IF(Q271=0,$F$2,IF(R271=0,$G$7,IF(R271&lt;Q271,INDEX($G$7:$G$106,R271+1),$F$2))))</x:f>
      </x:c>
      <x:c r="V271" s="14" t="str">
        <x:f>IF(R271="","",IF(Q271=0,$H$2,IF(R271=0,$H$7,IF(R271&lt;Q271,INDEX($H$7:$H$106,R271+1),$H$2))))</x:f>
      </x:c>
      <x:c r="W271" s="188" t="str">
        <x:f>IF(R271="","",IF(U271=S271,1,MAX(0,MIN(1,(P271-S271)/(U271-S271)))))</x:f>
      </x:c>
    </x:row>
    <x:row r="272">
      <x:c r="A272" s="159" t="str">
        <x:f>IF(OR(A271="",A271&gt;=$D$2),"",A271+1)</x:f>
      </x:c>
      <x:c r="B272" s="162" t="str">
        <x:f>IF(A272="","",IFERROR(SUMPRODUCT(--('Project Plan'!$A$7:$A$206&lt;&gt;""),('Project Plan'!$P$7:$P$206+('Project Plan'!$P$7:$P$206="")),--('Project Plan'!$F$7:$F$206&lt;&gt;""),--('Project Plan'!$G$7:$G$206&lt;&gt;""),((A272&gt;='Project Plan'!$G$7:$G$206)+((A272&gt;='Project Plan'!$F$7:$F$206)*(A272&lt;'Project Plan'!$G$7:$G$206)*(A272-'Project Plan'!$F$7:$F$206+1)/('Project Plan'!$G$7:$G$206-'Project Plan'!$F$7:$F$206+1))))/SUMPRODUCT(--('Project Plan'!$A$7:$A$206&lt;&gt;""),('Project Plan'!$P$7:$P$206+('Project Plan'!$P$7:$P$206=""))),0))</x:f>
      </x:c>
      <x:c r="C272" s="162" t="str">
        <x:f>IF(A272="","",IF(A272&gt;$F$2,"",IF(A272=$F$2,$H$2,IFERROR(LOOKUP(2,1/(($G$7:$G$106&lt;&gt;"")*($G$7:$G$106&lt;=A272)),$H$7:$H$106),""))))</x:f>
      </x:c>
      <x:c r="D272" s="162" t="str">
        <x:f>IF(C272="","",C272-B272)</x:f>
      </x:c>
      <x:c r="E272" s="163" t="str">
        <x:f>IF(D272="","",IF(D272&gt;=0,"On / Ahead",IF(D272&gt;=-0.05,"Watch","Behind")))</x:f>
      </x:c>
      <x:c r="J272"/>
      <x:c r="K272"/>
      <x:c r="L272"/>
      <x:c r="M272" t="str">
        <x:f>IF(A272="","",TEXT(A272,"mmm d"))</x:f>
      </x:c>
      <x:c r="N272" s="14" t="e">
        <x:f>IF(B272="",NA(),B272)</x:f>
        <x:v>#N/A</x:v>
      </x:c>
      <x:c r="O272" s="14" t="e">
        <x:f>IF(OR(P272="",$B$2="",$F$2="",P272&lt;$B$2,P272&gt;$F$2),NA(),IF(Q272=0,IF($F$2=$B$2,$H$2,MAX(0,MIN(1,$H$2*(3*MAX(0,MIN(1,(P272-$B$2)/($F$2-$B$2)))^2-2*MAX(0,MIN(1,(P272-$B$2)/($F$2-$B$2)))^3)))),MAX(0,MIN(1,T272+(V272-T272)*(3*W272^2-2*W272^3)))))</x:f>
        <x:v>#N/A</x:v>
      </x:c>
      <x:c r="P272" s="189" t="str">
        <x:f>A272</x:f>
      </x:c>
      <x:c r="Q272" t="n">
        <x:f>COUNT($G$7:$G$106)</x:f>
        <x:v>0</x:v>
      </x:c>
      <x:c r="R272" t="str">
        <x:f>IF(OR(P272="",$B$2="",$F$2="",P272&lt;$B$2,P272&gt;$F$2),"",IF(Q272=0,0,IF(P272&lt;$G$7,0,IF(P272&gt;=INDEX($G$7:$G$106,Q272),Q272,MATCH(P272,$G$7:$G$106,1)))))</x:f>
      </x:c>
      <x:c r="S272" t="str">
        <x:f>IF(R272="","",IF(R272=0,$B$2,INDEX($G$7:$G$106,R272)))</x:f>
      </x:c>
      <x:c r="T272" s="14" t="str">
        <x:f>IF(R272="","",IF(R272=0,0,INDEX($H$7:$H$106,R272)))</x:f>
      </x:c>
      <x:c r="U272" t="str">
        <x:f>IF(R272="","",IF(Q272=0,$F$2,IF(R272=0,$G$7,IF(R272&lt;Q272,INDEX($G$7:$G$106,R272+1),$F$2))))</x:f>
      </x:c>
      <x:c r="V272" s="14" t="str">
        <x:f>IF(R272="","",IF(Q272=0,$H$2,IF(R272=0,$H$7,IF(R272&lt;Q272,INDEX($H$7:$H$106,R272+1),$H$2))))</x:f>
      </x:c>
      <x:c r="W272" s="188" t="str">
        <x:f>IF(R272="","",IF(U272=S272,1,MAX(0,MIN(1,(P272-S272)/(U272-S272)))))</x:f>
      </x:c>
    </x:row>
    <x:row r="273">
      <x:c r="A273" s="159" t="str">
        <x:f>IF(OR(A272="",A272&gt;=$D$2),"",A272+1)</x:f>
      </x:c>
      <x:c r="B273" s="162" t="str">
        <x:f>IF(A273="","",IFERROR(SUMPRODUCT(--('Project Plan'!$A$7:$A$206&lt;&gt;""),('Project Plan'!$P$7:$P$206+('Project Plan'!$P$7:$P$206="")),--('Project Plan'!$F$7:$F$206&lt;&gt;""),--('Project Plan'!$G$7:$G$206&lt;&gt;""),((A273&gt;='Project Plan'!$G$7:$G$206)+((A273&gt;='Project Plan'!$F$7:$F$206)*(A273&lt;'Project Plan'!$G$7:$G$206)*(A273-'Project Plan'!$F$7:$F$206+1)/('Project Plan'!$G$7:$G$206-'Project Plan'!$F$7:$F$206+1))))/SUMPRODUCT(--('Project Plan'!$A$7:$A$206&lt;&gt;""),('Project Plan'!$P$7:$P$206+('Project Plan'!$P$7:$P$206=""))),0))</x:f>
      </x:c>
      <x:c r="C273" s="162" t="str">
        <x:f>IF(A273="","",IF(A273&gt;$F$2,"",IF(A273=$F$2,$H$2,IFERROR(LOOKUP(2,1/(($G$7:$G$106&lt;&gt;"")*($G$7:$G$106&lt;=A273)),$H$7:$H$106),""))))</x:f>
      </x:c>
      <x:c r="D273" s="162" t="str">
        <x:f>IF(C273="","",C273-B273)</x:f>
      </x:c>
      <x:c r="E273" s="163" t="str">
        <x:f>IF(D273="","",IF(D273&gt;=0,"On / Ahead",IF(D273&gt;=-0.05,"Watch","Behind")))</x:f>
      </x:c>
      <x:c r="J273"/>
      <x:c r="K273"/>
      <x:c r="L273"/>
      <x:c r="M273" t="str">
        <x:f>IF(A273="","",TEXT(A273,"mmm d"))</x:f>
      </x:c>
      <x:c r="N273" s="14" t="e">
        <x:f>IF(B273="",NA(),B273)</x:f>
        <x:v>#N/A</x:v>
      </x:c>
      <x:c r="O273" s="14" t="e">
        <x:f>IF(OR(P273="",$B$2="",$F$2="",P273&lt;$B$2,P273&gt;$F$2),NA(),IF(Q273=0,IF($F$2=$B$2,$H$2,MAX(0,MIN(1,$H$2*(3*MAX(0,MIN(1,(P273-$B$2)/($F$2-$B$2)))^2-2*MAX(0,MIN(1,(P273-$B$2)/($F$2-$B$2)))^3)))),MAX(0,MIN(1,T273+(V273-T273)*(3*W273^2-2*W273^3)))))</x:f>
        <x:v>#N/A</x:v>
      </x:c>
      <x:c r="P273" s="189" t="str">
        <x:f>A273</x:f>
      </x:c>
      <x:c r="Q273" t="n">
        <x:f>COUNT($G$7:$G$106)</x:f>
        <x:v>0</x:v>
      </x:c>
      <x:c r="R273" t="str">
        <x:f>IF(OR(P273="",$B$2="",$F$2="",P273&lt;$B$2,P273&gt;$F$2),"",IF(Q273=0,0,IF(P273&lt;$G$7,0,IF(P273&gt;=INDEX($G$7:$G$106,Q273),Q273,MATCH(P273,$G$7:$G$106,1)))))</x:f>
      </x:c>
      <x:c r="S273" t="str">
        <x:f>IF(R273="","",IF(R273=0,$B$2,INDEX($G$7:$G$106,R273)))</x:f>
      </x:c>
      <x:c r="T273" s="14" t="str">
        <x:f>IF(R273="","",IF(R273=0,0,INDEX($H$7:$H$106,R273)))</x:f>
      </x:c>
      <x:c r="U273" t="str">
        <x:f>IF(R273="","",IF(Q273=0,$F$2,IF(R273=0,$G$7,IF(R273&lt;Q273,INDEX($G$7:$G$106,R273+1),$F$2))))</x:f>
      </x:c>
      <x:c r="V273" s="14" t="str">
        <x:f>IF(R273="","",IF(Q273=0,$H$2,IF(R273=0,$H$7,IF(R273&lt;Q273,INDEX($H$7:$H$106,R273+1),$H$2))))</x:f>
      </x:c>
      <x:c r="W273" s="188" t="str">
        <x:f>IF(R273="","",IF(U273=S273,1,MAX(0,MIN(1,(P273-S273)/(U273-S273)))))</x:f>
      </x:c>
    </x:row>
    <x:row r="274">
      <x:c r="A274" s="159" t="str">
        <x:f>IF(OR(A273="",A273&gt;=$D$2),"",A273+1)</x:f>
      </x:c>
      <x:c r="B274" s="162" t="str">
        <x:f>IF(A274="","",IFERROR(SUMPRODUCT(--('Project Plan'!$A$7:$A$206&lt;&gt;""),('Project Plan'!$P$7:$P$206+('Project Plan'!$P$7:$P$206="")),--('Project Plan'!$F$7:$F$206&lt;&gt;""),--('Project Plan'!$G$7:$G$206&lt;&gt;""),((A274&gt;='Project Plan'!$G$7:$G$206)+((A274&gt;='Project Plan'!$F$7:$F$206)*(A274&lt;'Project Plan'!$G$7:$G$206)*(A274-'Project Plan'!$F$7:$F$206+1)/('Project Plan'!$G$7:$G$206-'Project Plan'!$F$7:$F$206+1))))/SUMPRODUCT(--('Project Plan'!$A$7:$A$206&lt;&gt;""),('Project Plan'!$P$7:$P$206+('Project Plan'!$P$7:$P$206=""))),0))</x:f>
      </x:c>
      <x:c r="C274" s="162" t="str">
        <x:f>IF(A274="","",IF(A274&gt;$F$2,"",IF(A274=$F$2,$H$2,IFERROR(LOOKUP(2,1/(($G$7:$G$106&lt;&gt;"")*($G$7:$G$106&lt;=A274)),$H$7:$H$106),""))))</x:f>
      </x:c>
      <x:c r="D274" s="162" t="str">
        <x:f>IF(C274="","",C274-B274)</x:f>
      </x:c>
      <x:c r="E274" s="163" t="str">
        <x:f>IF(D274="","",IF(D274&gt;=0,"On / Ahead",IF(D274&gt;=-0.05,"Watch","Behind")))</x:f>
      </x:c>
      <x:c r="J274"/>
      <x:c r="K274"/>
      <x:c r="L274"/>
      <x:c r="M274" t="str">
        <x:f>IF(A274="","",TEXT(A274,"mmm d"))</x:f>
      </x:c>
      <x:c r="N274" s="14" t="e">
        <x:f>IF(B274="",NA(),B274)</x:f>
        <x:v>#N/A</x:v>
      </x:c>
      <x:c r="O274" s="14" t="e">
        <x:f>IF(OR(P274="",$B$2="",$F$2="",P274&lt;$B$2,P274&gt;$F$2),NA(),IF(Q274=0,IF($F$2=$B$2,$H$2,MAX(0,MIN(1,$H$2*(3*MAX(0,MIN(1,(P274-$B$2)/($F$2-$B$2)))^2-2*MAX(0,MIN(1,(P274-$B$2)/($F$2-$B$2)))^3)))),MAX(0,MIN(1,T274+(V274-T274)*(3*W274^2-2*W274^3)))))</x:f>
        <x:v>#N/A</x:v>
      </x:c>
      <x:c r="P274" s="189" t="str">
        <x:f>A274</x:f>
      </x:c>
      <x:c r="Q274" t="n">
        <x:f>COUNT($G$7:$G$106)</x:f>
        <x:v>0</x:v>
      </x:c>
      <x:c r="R274" t="str">
        <x:f>IF(OR(P274="",$B$2="",$F$2="",P274&lt;$B$2,P274&gt;$F$2),"",IF(Q274=0,0,IF(P274&lt;$G$7,0,IF(P274&gt;=INDEX($G$7:$G$106,Q274),Q274,MATCH(P274,$G$7:$G$106,1)))))</x:f>
      </x:c>
      <x:c r="S274" t="str">
        <x:f>IF(R274="","",IF(R274=0,$B$2,INDEX($G$7:$G$106,R274)))</x:f>
      </x:c>
      <x:c r="T274" s="14" t="str">
        <x:f>IF(R274="","",IF(R274=0,0,INDEX($H$7:$H$106,R274)))</x:f>
      </x:c>
      <x:c r="U274" t="str">
        <x:f>IF(R274="","",IF(Q274=0,$F$2,IF(R274=0,$G$7,IF(R274&lt;Q274,INDEX($G$7:$G$106,R274+1),$F$2))))</x:f>
      </x:c>
      <x:c r="V274" s="14" t="str">
        <x:f>IF(R274="","",IF(Q274=0,$H$2,IF(R274=0,$H$7,IF(R274&lt;Q274,INDEX($H$7:$H$106,R274+1),$H$2))))</x:f>
      </x:c>
      <x:c r="W274" s="188" t="str">
        <x:f>IF(R274="","",IF(U274=S274,1,MAX(0,MIN(1,(P274-S274)/(U274-S274)))))</x:f>
      </x:c>
    </x:row>
    <x:row r="275">
      <x:c r="A275" s="159" t="str">
        <x:f>IF(OR(A274="",A274&gt;=$D$2),"",A274+1)</x:f>
      </x:c>
      <x:c r="B275" s="162" t="str">
        <x:f>IF(A275="","",IFERROR(SUMPRODUCT(--('Project Plan'!$A$7:$A$206&lt;&gt;""),('Project Plan'!$P$7:$P$206+('Project Plan'!$P$7:$P$206="")),--('Project Plan'!$F$7:$F$206&lt;&gt;""),--('Project Plan'!$G$7:$G$206&lt;&gt;""),((A275&gt;='Project Plan'!$G$7:$G$206)+((A275&gt;='Project Plan'!$F$7:$F$206)*(A275&lt;'Project Plan'!$G$7:$G$206)*(A275-'Project Plan'!$F$7:$F$206+1)/('Project Plan'!$G$7:$G$206-'Project Plan'!$F$7:$F$206+1))))/SUMPRODUCT(--('Project Plan'!$A$7:$A$206&lt;&gt;""),('Project Plan'!$P$7:$P$206+('Project Plan'!$P$7:$P$206=""))),0))</x:f>
      </x:c>
      <x:c r="C275" s="162" t="str">
        <x:f>IF(A275="","",IF(A275&gt;$F$2,"",IF(A275=$F$2,$H$2,IFERROR(LOOKUP(2,1/(($G$7:$G$106&lt;&gt;"")*($G$7:$G$106&lt;=A275)),$H$7:$H$106),""))))</x:f>
      </x:c>
      <x:c r="D275" s="162" t="str">
        <x:f>IF(C275="","",C275-B275)</x:f>
      </x:c>
      <x:c r="E275" s="163" t="str">
        <x:f>IF(D275="","",IF(D275&gt;=0,"On / Ahead",IF(D275&gt;=-0.05,"Watch","Behind")))</x:f>
      </x:c>
      <x:c r="J275"/>
      <x:c r="K275"/>
      <x:c r="L275"/>
      <x:c r="M275" t="str">
        <x:f>IF(A275="","",TEXT(A275,"mmm d"))</x:f>
      </x:c>
      <x:c r="N275" s="14" t="e">
        <x:f>IF(B275="",NA(),B275)</x:f>
        <x:v>#N/A</x:v>
      </x:c>
      <x:c r="O275" s="14" t="e">
        <x:f>IF(OR(P275="",$B$2="",$F$2="",P275&lt;$B$2,P275&gt;$F$2),NA(),IF(Q275=0,IF($F$2=$B$2,$H$2,MAX(0,MIN(1,$H$2*(3*MAX(0,MIN(1,(P275-$B$2)/($F$2-$B$2)))^2-2*MAX(0,MIN(1,(P275-$B$2)/($F$2-$B$2)))^3)))),MAX(0,MIN(1,T275+(V275-T275)*(3*W275^2-2*W275^3)))))</x:f>
        <x:v>#N/A</x:v>
      </x:c>
      <x:c r="P275" s="189" t="str">
        <x:f>A275</x:f>
      </x:c>
      <x:c r="Q275" t="n">
        <x:f>COUNT($G$7:$G$106)</x:f>
        <x:v>0</x:v>
      </x:c>
      <x:c r="R275" t="str">
        <x:f>IF(OR(P275="",$B$2="",$F$2="",P275&lt;$B$2,P275&gt;$F$2),"",IF(Q275=0,0,IF(P275&lt;$G$7,0,IF(P275&gt;=INDEX($G$7:$G$106,Q275),Q275,MATCH(P275,$G$7:$G$106,1)))))</x:f>
      </x:c>
      <x:c r="S275" t="str">
        <x:f>IF(R275="","",IF(R275=0,$B$2,INDEX($G$7:$G$106,R275)))</x:f>
      </x:c>
      <x:c r="T275" s="14" t="str">
        <x:f>IF(R275="","",IF(R275=0,0,INDEX($H$7:$H$106,R275)))</x:f>
      </x:c>
      <x:c r="U275" t="str">
        <x:f>IF(R275="","",IF(Q275=0,$F$2,IF(R275=0,$G$7,IF(R275&lt;Q275,INDEX($G$7:$G$106,R275+1),$F$2))))</x:f>
      </x:c>
      <x:c r="V275" s="14" t="str">
        <x:f>IF(R275="","",IF(Q275=0,$H$2,IF(R275=0,$H$7,IF(R275&lt;Q275,INDEX($H$7:$H$106,R275+1),$H$2))))</x:f>
      </x:c>
      <x:c r="W275" s="188" t="str">
        <x:f>IF(R275="","",IF(U275=S275,1,MAX(0,MIN(1,(P275-S275)/(U275-S275)))))</x:f>
      </x:c>
    </x:row>
    <x:row r="276">
      <x:c r="A276" s="159" t="str">
        <x:f>IF(OR(A275="",A275&gt;=$D$2),"",A275+1)</x:f>
      </x:c>
      <x:c r="B276" s="162" t="str">
        <x:f>IF(A276="","",IFERROR(SUMPRODUCT(--('Project Plan'!$A$7:$A$206&lt;&gt;""),('Project Plan'!$P$7:$P$206+('Project Plan'!$P$7:$P$206="")),--('Project Plan'!$F$7:$F$206&lt;&gt;""),--('Project Plan'!$G$7:$G$206&lt;&gt;""),((A276&gt;='Project Plan'!$G$7:$G$206)+((A276&gt;='Project Plan'!$F$7:$F$206)*(A276&lt;'Project Plan'!$G$7:$G$206)*(A276-'Project Plan'!$F$7:$F$206+1)/('Project Plan'!$G$7:$G$206-'Project Plan'!$F$7:$F$206+1))))/SUMPRODUCT(--('Project Plan'!$A$7:$A$206&lt;&gt;""),('Project Plan'!$P$7:$P$206+('Project Plan'!$P$7:$P$206=""))),0))</x:f>
      </x:c>
      <x:c r="C276" s="162" t="str">
        <x:f>IF(A276="","",IF(A276&gt;$F$2,"",IF(A276=$F$2,$H$2,IFERROR(LOOKUP(2,1/(($G$7:$G$106&lt;&gt;"")*($G$7:$G$106&lt;=A276)),$H$7:$H$106),""))))</x:f>
      </x:c>
      <x:c r="D276" s="162" t="str">
        <x:f>IF(C276="","",C276-B276)</x:f>
      </x:c>
      <x:c r="E276" s="163" t="str">
        <x:f>IF(D276="","",IF(D276&gt;=0,"On / Ahead",IF(D276&gt;=-0.05,"Watch","Behind")))</x:f>
      </x:c>
      <x:c r="J276"/>
      <x:c r="K276"/>
      <x:c r="L276"/>
      <x:c r="M276" t="str">
        <x:f>IF(A276="","",TEXT(A276,"mmm d"))</x:f>
      </x:c>
      <x:c r="N276" s="14" t="e">
        <x:f>IF(B276="",NA(),B276)</x:f>
        <x:v>#N/A</x:v>
      </x:c>
      <x:c r="O276" s="14" t="e">
        <x:f>IF(OR(P276="",$B$2="",$F$2="",P276&lt;$B$2,P276&gt;$F$2),NA(),IF(Q276=0,IF($F$2=$B$2,$H$2,MAX(0,MIN(1,$H$2*(3*MAX(0,MIN(1,(P276-$B$2)/($F$2-$B$2)))^2-2*MAX(0,MIN(1,(P276-$B$2)/($F$2-$B$2)))^3)))),MAX(0,MIN(1,T276+(V276-T276)*(3*W276^2-2*W276^3)))))</x:f>
        <x:v>#N/A</x:v>
      </x:c>
      <x:c r="P276" s="189" t="str">
        <x:f>A276</x:f>
      </x:c>
      <x:c r="Q276" t="n">
        <x:f>COUNT($G$7:$G$106)</x:f>
        <x:v>0</x:v>
      </x:c>
      <x:c r="R276" t="str">
        <x:f>IF(OR(P276="",$B$2="",$F$2="",P276&lt;$B$2,P276&gt;$F$2),"",IF(Q276=0,0,IF(P276&lt;$G$7,0,IF(P276&gt;=INDEX($G$7:$G$106,Q276),Q276,MATCH(P276,$G$7:$G$106,1)))))</x:f>
      </x:c>
      <x:c r="S276" t="str">
        <x:f>IF(R276="","",IF(R276=0,$B$2,INDEX($G$7:$G$106,R276)))</x:f>
      </x:c>
      <x:c r="T276" s="14" t="str">
        <x:f>IF(R276="","",IF(R276=0,0,INDEX($H$7:$H$106,R276)))</x:f>
      </x:c>
      <x:c r="U276" t="str">
        <x:f>IF(R276="","",IF(Q276=0,$F$2,IF(R276=0,$G$7,IF(R276&lt;Q276,INDEX($G$7:$G$106,R276+1),$F$2))))</x:f>
      </x:c>
      <x:c r="V276" s="14" t="str">
        <x:f>IF(R276="","",IF(Q276=0,$H$2,IF(R276=0,$H$7,IF(R276&lt;Q276,INDEX($H$7:$H$106,R276+1),$H$2))))</x:f>
      </x:c>
      <x:c r="W276" s="188" t="str">
        <x:f>IF(R276="","",IF(U276=S276,1,MAX(0,MIN(1,(P276-S276)/(U276-S276)))))</x:f>
      </x:c>
    </x:row>
    <x:row r="277">
      <x:c r="A277" s="159" t="str">
        <x:f>IF(OR(A276="",A276&gt;=$D$2),"",A276+1)</x:f>
      </x:c>
      <x:c r="B277" s="162" t="str">
        <x:f>IF(A277="","",IFERROR(SUMPRODUCT(--('Project Plan'!$A$7:$A$206&lt;&gt;""),('Project Plan'!$P$7:$P$206+('Project Plan'!$P$7:$P$206="")),--('Project Plan'!$F$7:$F$206&lt;&gt;""),--('Project Plan'!$G$7:$G$206&lt;&gt;""),((A277&gt;='Project Plan'!$G$7:$G$206)+((A277&gt;='Project Plan'!$F$7:$F$206)*(A277&lt;'Project Plan'!$G$7:$G$206)*(A277-'Project Plan'!$F$7:$F$206+1)/('Project Plan'!$G$7:$G$206-'Project Plan'!$F$7:$F$206+1))))/SUMPRODUCT(--('Project Plan'!$A$7:$A$206&lt;&gt;""),('Project Plan'!$P$7:$P$206+('Project Plan'!$P$7:$P$206=""))),0))</x:f>
      </x:c>
      <x:c r="C277" s="162" t="str">
        <x:f>IF(A277="","",IF(A277&gt;$F$2,"",IF(A277=$F$2,$H$2,IFERROR(LOOKUP(2,1/(($G$7:$G$106&lt;&gt;"")*($G$7:$G$106&lt;=A277)),$H$7:$H$106),""))))</x:f>
      </x:c>
      <x:c r="D277" s="162" t="str">
        <x:f>IF(C277="","",C277-B277)</x:f>
      </x:c>
      <x:c r="E277" s="163" t="str">
        <x:f>IF(D277="","",IF(D277&gt;=0,"On / Ahead",IF(D277&gt;=-0.05,"Watch","Behind")))</x:f>
      </x:c>
      <x:c r="J277"/>
      <x:c r="K277"/>
      <x:c r="L277"/>
      <x:c r="M277" t="str">
        <x:f>IF(A277="","",TEXT(A277,"mmm d"))</x:f>
      </x:c>
      <x:c r="N277" s="14" t="e">
        <x:f>IF(B277="",NA(),B277)</x:f>
        <x:v>#N/A</x:v>
      </x:c>
      <x:c r="O277" s="14" t="e">
        <x:f>IF(OR(P277="",$B$2="",$F$2="",P277&lt;$B$2,P277&gt;$F$2),NA(),IF(Q277=0,IF($F$2=$B$2,$H$2,MAX(0,MIN(1,$H$2*(3*MAX(0,MIN(1,(P277-$B$2)/($F$2-$B$2)))^2-2*MAX(0,MIN(1,(P277-$B$2)/($F$2-$B$2)))^3)))),MAX(0,MIN(1,T277+(V277-T277)*(3*W277^2-2*W277^3)))))</x:f>
        <x:v>#N/A</x:v>
      </x:c>
      <x:c r="P277" s="189" t="str">
        <x:f>A277</x:f>
      </x:c>
      <x:c r="Q277" t="n">
        <x:f>COUNT($G$7:$G$106)</x:f>
        <x:v>0</x:v>
      </x:c>
      <x:c r="R277" t="str">
        <x:f>IF(OR(P277="",$B$2="",$F$2="",P277&lt;$B$2,P277&gt;$F$2),"",IF(Q277=0,0,IF(P277&lt;$G$7,0,IF(P277&gt;=INDEX($G$7:$G$106,Q277),Q277,MATCH(P277,$G$7:$G$106,1)))))</x:f>
      </x:c>
      <x:c r="S277" t="str">
        <x:f>IF(R277="","",IF(R277=0,$B$2,INDEX($G$7:$G$106,R277)))</x:f>
      </x:c>
      <x:c r="T277" s="14" t="str">
        <x:f>IF(R277="","",IF(R277=0,0,INDEX($H$7:$H$106,R277)))</x:f>
      </x:c>
      <x:c r="U277" t="str">
        <x:f>IF(R277="","",IF(Q277=0,$F$2,IF(R277=0,$G$7,IF(R277&lt;Q277,INDEX($G$7:$G$106,R277+1),$F$2))))</x:f>
      </x:c>
      <x:c r="V277" s="14" t="str">
        <x:f>IF(R277="","",IF(Q277=0,$H$2,IF(R277=0,$H$7,IF(R277&lt;Q277,INDEX($H$7:$H$106,R277+1),$H$2))))</x:f>
      </x:c>
      <x:c r="W277" s="188" t="str">
        <x:f>IF(R277="","",IF(U277=S277,1,MAX(0,MIN(1,(P277-S277)/(U277-S277)))))</x:f>
      </x:c>
    </x:row>
    <x:row r="278">
      <x:c r="A278" s="159" t="str">
        <x:f>IF(OR(A277="",A277&gt;=$D$2),"",A277+1)</x:f>
      </x:c>
      <x:c r="B278" s="162" t="str">
        <x:f>IF(A278="","",IFERROR(SUMPRODUCT(--('Project Plan'!$A$7:$A$206&lt;&gt;""),('Project Plan'!$P$7:$P$206+('Project Plan'!$P$7:$P$206="")),--('Project Plan'!$F$7:$F$206&lt;&gt;""),--('Project Plan'!$G$7:$G$206&lt;&gt;""),((A278&gt;='Project Plan'!$G$7:$G$206)+((A278&gt;='Project Plan'!$F$7:$F$206)*(A278&lt;'Project Plan'!$G$7:$G$206)*(A278-'Project Plan'!$F$7:$F$206+1)/('Project Plan'!$G$7:$G$206-'Project Plan'!$F$7:$F$206+1))))/SUMPRODUCT(--('Project Plan'!$A$7:$A$206&lt;&gt;""),('Project Plan'!$P$7:$P$206+('Project Plan'!$P$7:$P$206=""))),0))</x:f>
      </x:c>
      <x:c r="C278" s="162" t="str">
        <x:f>IF(A278="","",IF(A278&gt;$F$2,"",IF(A278=$F$2,$H$2,IFERROR(LOOKUP(2,1/(($G$7:$G$106&lt;&gt;"")*($G$7:$G$106&lt;=A278)),$H$7:$H$106),""))))</x:f>
      </x:c>
      <x:c r="D278" s="162" t="str">
        <x:f>IF(C278="","",C278-B278)</x:f>
      </x:c>
      <x:c r="E278" s="163" t="str">
        <x:f>IF(D278="","",IF(D278&gt;=0,"On / Ahead",IF(D278&gt;=-0.05,"Watch","Behind")))</x:f>
      </x:c>
      <x:c r="J278"/>
      <x:c r="K278"/>
      <x:c r="L278"/>
      <x:c r="M278" t="str">
        <x:f>IF(A278="","",TEXT(A278,"mmm d"))</x:f>
      </x:c>
      <x:c r="N278" s="14" t="e">
        <x:f>IF(B278="",NA(),B278)</x:f>
        <x:v>#N/A</x:v>
      </x:c>
      <x:c r="O278" s="14" t="e">
        <x:f>IF(OR(P278="",$B$2="",$F$2="",P278&lt;$B$2,P278&gt;$F$2),NA(),IF(Q278=0,IF($F$2=$B$2,$H$2,MAX(0,MIN(1,$H$2*(3*MAX(0,MIN(1,(P278-$B$2)/($F$2-$B$2)))^2-2*MAX(0,MIN(1,(P278-$B$2)/($F$2-$B$2)))^3)))),MAX(0,MIN(1,T278+(V278-T278)*(3*W278^2-2*W278^3)))))</x:f>
        <x:v>#N/A</x:v>
      </x:c>
      <x:c r="P278" s="189" t="str">
        <x:f>A278</x:f>
      </x:c>
      <x:c r="Q278" t="n">
        <x:f>COUNT($G$7:$G$106)</x:f>
        <x:v>0</x:v>
      </x:c>
      <x:c r="R278" t="str">
        <x:f>IF(OR(P278="",$B$2="",$F$2="",P278&lt;$B$2,P278&gt;$F$2),"",IF(Q278=0,0,IF(P278&lt;$G$7,0,IF(P278&gt;=INDEX($G$7:$G$106,Q278),Q278,MATCH(P278,$G$7:$G$106,1)))))</x:f>
      </x:c>
      <x:c r="S278" t="str">
        <x:f>IF(R278="","",IF(R278=0,$B$2,INDEX($G$7:$G$106,R278)))</x:f>
      </x:c>
      <x:c r="T278" s="14" t="str">
        <x:f>IF(R278="","",IF(R278=0,0,INDEX($H$7:$H$106,R278)))</x:f>
      </x:c>
      <x:c r="U278" t="str">
        <x:f>IF(R278="","",IF(Q278=0,$F$2,IF(R278=0,$G$7,IF(R278&lt;Q278,INDEX($G$7:$G$106,R278+1),$F$2))))</x:f>
      </x:c>
      <x:c r="V278" s="14" t="str">
        <x:f>IF(R278="","",IF(Q278=0,$H$2,IF(R278=0,$H$7,IF(R278&lt;Q278,INDEX($H$7:$H$106,R278+1),$H$2))))</x:f>
      </x:c>
      <x:c r="W278" s="188" t="str">
        <x:f>IF(R278="","",IF(U278=S278,1,MAX(0,MIN(1,(P278-S278)/(U278-S278)))))</x:f>
      </x:c>
    </x:row>
    <x:row r="279">
      <x:c r="A279" s="159" t="str">
        <x:f>IF(OR(A278="",A278&gt;=$D$2),"",A278+1)</x:f>
      </x:c>
      <x:c r="B279" s="162" t="str">
        <x:f>IF(A279="","",IFERROR(SUMPRODUCT(--('Project Plan'!$A$7:$A$206&lt;&gt;""),('Project Plan'!$P$7:$P$206+('Project Plan'!$P$7:$P$206="")),--('Project Plan'!$F$7:$F$206&lt;&gt;""),--('Project Plan'!$G$7:$G$206&lt;&gt;""),((A279&gt;='Project Plan'!$G$7:$G$206)+((A279&gt;='Project Plan'!$F$7:$F$206)*(A279&lt;'Project Plan'!$G$7:$G$206)*(A279-'Project Plan'!$F$7:$F$206+1)/('Project Plan'!$G$7:$G$206-'Project Plan'!$F$7:$F$206+1))))/SUMPRODUCT(--('Project Plan'!$A$7:$A$206&lt;&gt;""),('Project Plan'!$P$7:$P$206+('Project Plan'!$P$7:$P$206=""))),0))</x:f>
      </x:c>
      <x:c r="C279" s="162" t="str">
        <x:f>IF(A279="","",IF(A279&gt;$F$2,"",IF(A279=$F$2,$H$2,IFERROR(LOOKUP(2,1/(($G$7:$G$106&lt;&gt;"")*($G$7:$G$106&lt;=A279)),$H$7:$H$106),""))))</x:f>
      </x:c>
      <x:c r="D279" s="162" t="str">
        <x:f>IF(C279="","",C279-B279)</x:f>
      </x:c>
      <x:c r="E279" s="163" t="str">
        <x:f>IF(D279="","",IF(D279&gt;=0,"On / Ahead",IF(D279&gt;=-0.05,"Watch","Behind")))</x:f>
      </x:c>
      <x:c r="J279"/>
      <x:c r="K279"/>
      <x:c r="L279"/>
      <x:c r="M279" t="str">
        <x:f>IF(A279="","",TEXT(A279,"mmm d"))</x:f>
      </x:c>
      <x:c r="N279" s="14" t="e">
        <x:f>IF(B279="",NA(),B279)</x:f>
        <x:v>#N/A</x:v>
      </x:c>
      <x:c r="O279" s="14" t="e">
        <x:f>IF(OR(P279="",$B$2="",$F$2="",P279&lt;$B$2,P279&gt;$F$2),NA(),IF(Q279=0,IF($F$2=$B$2,$H$2,MAX(0,MIN(1,$H$2*(3*MAX(0,MIN(1,(P279-$B$2)/($F$2-$B$2)))^2-2*MAX(0,MIN(1,(P279-$B$2)/($F$2-$B$2)))^3)))),MAX(0,MIN(1,T279+(V279-T279)*(3*W279^2-2*W279^3)))))</x:f>
        <x:v>#N/A</x:v>
      </x:c>
      <x:c r="P279" s="189" t="str">
        <x:f>A279</x:f>
      </x:c>
      <x:c r="Q279" t="n">
        <x:f>COUNT($G$7:$G$106)</x:f>
        <x:v>0</x:v>
      </x:c>
      <x:c r="R279" t="str">
        <x:f>IF(OR(P279="",$B$2="",$F$2="",P279&lt;$B$2,P279&gt;$F$2),"",IF(Q279=0,0,IF(P279&lt;$G$7,0,IF(P279&gt;=INDEX($G$7:$G$106,Q279),Q279,MATCH(P279,$G$7:$G$106,1)))))</x:f>
      </x:c>
      <x:c r="S279" t="str">
        <x:f>IF(R279="","",IF(R279=0,$B$2,INDEX($G$7:$G$106,R279)))</x:f>
      </x:c>
      <x:c r="T279" s="14" t="str">
        <x:f>IF(R279="","",IF(R279=0,0,INDEX($H$7:$H$106,R279)))</x:f>
      </x:c>
      <x:c r="U279" t="str">
        <x:f>IF(R279="","",IF(Q279=0,$F$2,IF(R279=0,$G$7,IF(R279&lt;Q279,INDEX($G$7:$G$106,R279+1),$F$2))))</x:f>
      </x:c>
      <x:c r="V279" s="14" t="str">
        <x:f>IF(R279="","",IF(Q279=0,$H$2,IF(R279=0,$H$7,IF(R279&lt;Q279,INDEX($H$7:$H$106,R279+1),$H$2))))</x:f>
      </x:c>
      <x:c r="W279" s="188" t="str">
        <x:f>IF(R279="","",IF(U279=S279,1,MAX(0,MIN(1,(P279-S279)/(U279-S279)))))</x:f>
      </x:c>
    </x:row>
    <x:row r="280">
      <x:c r="A280" s="159" t="str">
        <x:f>IF(OR(A279="",A279&gt;=$D$2),"",A279+1)</x:f>
      </x:c>
      <x:c r="B280" s="162" t="str">
        <x:f>IF(A280="","",IFERROR(SUMPRODUCT(--('Project Plan'!$A$7:$A$206&lt;&gt;""),('Project Plan'!$P$7:$P$206+('Project Plan'!$P$7:$P$206="")),--('Project Plan'!$F$7:$F$206&lt;&gt;""),--('Project Plan'!$G$7:$G$206&lt;&gt;""),((A280&gt;='Project Plan'!$G$7:$G$206)+((A280&gt;='Project Plan'!$F$7:$F$206)*(A280&lt;'Project Plan'!$G$7:$G$206)*(A280-'Project Plan'!$F$7:$F$206+1)/('Project Plan'!$G$7:$G$206-'Project Plan'!$F$7:$F$206+1))))/SUMPRODUCT(--('Project Plan'!$A$7:$A$206&lt;&gt;""),('Project Plan'!$P$7:$P$206+('Project Plan'!$P$7:$P$206=""))),0))</x:f>
      </x:c>
      <x:c r="C280" s="162" t="str">
        <x:f>IF(A280="","",IF(A280&gt;$F$2,"",IF(A280=$F$2,$H$2,IFERROR(LOOKUP(2,1/(($G$7:$G$106&lt;&gt;"")*($G$7:$G$106&lt;=A280)),$H$7:$H$106),""))))</x:f>
      </x:c>
      <x:c r="D280" s="162" t="str">
        <x:f>IF(C280="","",C280-B280)</x:f>
      </x:c>
      <x:c r="E280" s="163" t="str">
        <x:f>IF(D280="","",IF(D280&gt;=0,"On / Ahead",IF(D280&gt;=-0.05,"Watch","Behind")))</x:f>
      </x:c>
      <x:c r="J280"/>
      <x:c r="K280"/>
      <x:c r="L280"/>
      <x:c r="M280" t="str">
        <x:f>IF(A280="","",TEXT(A280,"mmm d"))</x:f>
      </x:c>
      <x:c r="N280" s="14" t="e">
        <x:f>IF(B280="",NA(),B280)</x:f>
        <x:v>#N/A</x:v>
      </x:c>
      <x:c r="O280" s="14" t="e">
        <x:f>IF(OR(P280="",$B$2="",$F$2="",P280&lt;$B$2,P280&gt;$F$2),NA(),IF(Q280=0,IF($F$2=$B$2,$H$2,MAX(0,MIN(1,$H$2*(3*MAX(0,MIN(1,(P280-$B$2)/($F$2-$B$2)))^2-2*MAX(0,MIN(1,(P280-$B$2)/($F$2-$B$2)))^3)))),MAX(0,MIN(1,T280+(V280-T280)*(3*W280^2-2*W280^3)))))</x:f>
        <x:v>#N/A</x:v>
      </x:c>
      <x:c r="P280" s="189" t="str">
        <x:f>A280</x:f>
      </x:c>
      <x:c r="Q280" t="n">
        <x:f>COUNT($G$7:$G$106)</x:f>
        <x:v>0</x:v>
      </x:c>
      <x:c r="R280" t="str">
        <x:f>IF(OR(P280="",$B$2="",$F$2="",P280&lt;$B$2,P280&gt;$F$2),"",IF(Q280=0,0,IF(P280&lt;$G$7,0,IF(P280&gt;=INDEX($G$7:$G$106,Q280),Q280,MATCH(P280,$G$7:$G$106,1)))))</x:f>
      </x:c>
      <x:c r="S280" t="str">
        <x:f>IF(R280="","",IF(R280=0,$B$2,INDEX($G$7:$G$106,R280)))</x:f>
      </x:c>
      <x:c r="T280" s="14" t="str">
        <x:f>IF(R280="","",IF(R280=0,0,INDEX($H$7:$H$106,R280)))</x:f>
      </x:c>
      <x:c r="U280" t="str">
        <x:f>IF(R280="","",IF(Q280=0,$F$2,IF(R280=0,$G$7,IF(R280&lt;Q280,INDEX($G$7:$G$106,R280+1),$F$2))))</x:f>
      </x:c>
      <x:c r="V280" s="14" t="str">
        <x:f>IF(R280="","",IF(Q280=0,$H$2,IF(R280=0,$H$7,IF(R280&lt;Q280,INDEX($H$7:$H$106,R280+1),$H$2))))</x:f>
      </x:c>
      <x:c r="W280" s="188" t="str">
        <x:f>IF(R280="","",IF(U280=S280,1,MAX(0,MIN(1,(P280-S280)/(U280-S280)))))</x:f>
      </x:c>
    </x:row>
    <x:row r="281">
      <x:c r="A281" s="159" t="str">
        <x:f>IF(OR(A280="",A280&gt;=$D$2),"",A280+1)</x:f>
      </x:c>
      <x:c r="B281" s="162" t="str">
        <x:f>IF(A281="","",IFERROR(SUMPRODUCT(--('Project Plan'!$A$7:$A$206&lt;&gt;""),('Project Plan'!$P$7:$P$206+('Project Plan'!$P$7:$P$206="")),--('Project Plan'!$F$7:$F$206&lt;&gt;""),--('Project Plan'!$G$7:$G$206&lt;&gt;""),((A281&gt;='Project Plan'!$G$7:$G$206)+((A281&gt;='Project Plan'!$F$7:$F$206)*(A281&lt;'Project Plan'!$G$7:$G$206)*(A281-'Project Plan'!$F$7:$F$206+1)/('Project Plan'!$G$7:$G$206-'Project Plan'!$F$7:$F$206+1))))/SUMPRODUCT(--('Project Plan'!$A$7:$A$206&lt;&gt;""),('Project Plan'!$P$7:$P$206+('Project Plan'!$P$7:$P$206=""))),0))</x:f>
      </x:c>
      <x:c r="C281" s="162" t="str">
        <x:f>IF(A281="","",IF(A281&gt;$F$2,"",IF(A281=$F$2,$H$2,IFERROR(LOOKUP(2,1/(($G$7:$G$106&lt;&gt;"")*($G$7:$G$106&lt;=A281)),$H$7:$H$106),""))))</x:f>
      </x:c>
      <x:c r="D281" s="162" t="str">
        <x:f>IF(C281="","",C281-B281)</x:f>
      </x:c>
      <x:c r="E281" s="163" t="str">
        <x:f>IF(D281="","",IF(D281&gt;=0,"On / Ahead",IF(D281&gt;=-0.05,"Watch","Behind")))</x:f>
      </x:c>
      <x:c r="J281"/>
      <x:c r="K281"/>
      <x:c r="L281"/>
      <x:c r="M281" t="str">
        <x:f>IF(A281="","",TEXT(A281,"mmm d"))</x:f>
      </x:c>
      <x:c r="N281" s="14" t="e">
        <x:f>IF(B281="",NA(),B281)</x:f>
        <x:v>#N/A</x:v>
      </x:c>
      <x:c r="O281" s="14" t="e">
        <x:f>IF(OR(P281="",$B$2="",$F$2="",P281&lt;$B$2,P281&gt;$F$2),NA(),IF(Q281=0,IF($F$2=$B$2,$H$2,MAX(0,MIN(1,$H$2*(3*MAX(0,MIN(1,(P281-$B$2)/($F$2-$B$2)))^2-2*MAX(0,MIN(1,(P281-$B$2)/($F$2-$B$2)))^3)))),MAX(0,MIN(1,T281+(V281-T281)*(3*W281^2-2*W281^3)))))</x:f>
        <x:v>#N/A</x:v>
      </x:c>
      <x:c r="P281" s="189" t="str">
        <x:f>A281</x:f>
      </x:c>
      <x:c r="Q281" t="n">
        <x:f>COUNT($G$7:$G$106)</x:f>
        <x:v>0</x:v>
      </x:c>
      <x:c r="R281" t="str">
        <x:f>IF(OR(P281="",$B$2="",$F$2="",P281&lt;$B$2,P281&gt;$F$2),"",IF(Q281=0,0,IF(P281&lt;$G$7,0,IF(P281&gt;=INDEX($G$7:$G$106,Q281),Q281,MATCH(P281,$G$7:$G$106,1)))))</x:f>
      </x:c>
      <x:c r="S281" t="str">
        <x:f>IF(R281="","",IF(R281=0,$B$2,INDEX($G$7:$G$106,R281)))</x:f>
      </x:c>
      <x:c r="T281" s="14" t="str">
        <x:f>IF(R281="","",IF(R281=0,0,INDEX($H$7:$H$106,R281)))</x:f>
      </x:c>
      <x:c r="U281" t="str">
        <x:f>IF(R281="","",IF(Q281=0,$F$2,IF(R281=0,$G$7,IF(R281&lt;Q281,INDEX($G$7:$G$106,R281+1),$F$2))))</x:f>
      </x:c>
      <x:c r="V281" s="14" t="str">
        <x:f>IF(R281="","",IF(Q281=0,$H$2,IF(R281=0,$H$7,IF(R281&lt;Q281,INDEX($H$7:$H$106,R281+1),$H$2))))</x:f>
      </x:c>
      <x:c r="W281" s="188" t="str">
        <x:f>IF(R281="","",IF(U281=S281,1,MAX(0,MIN(1,(P281-S281)/(U281-S281)))))</x:f>
      </x:c>
    </x:row>
    <x:row r="282">
      <x:c r="A282" s="159" t="str">
        <x:f>IF(OR(A281="",A281&gt;=$D$2),"",A281+1)</x:f>
      </x:c>
      <x:c r="B282" s="162" t="str">
        <x:f>IF(A282="","",IFERROR(SUMPRODUCT(--('Project Plan'!$A$7:$A$206&lt;&gt;""),('Project Plan'!$P$7:$P$206+('Project Plan'!$P$7:$P$206="")),--('Project Plan'!$F$7:$F$206&lt;&gt;""),--('Project Plan'!$G$7:$G$206&lt;&gt;""),((A282&gt;='Project Plan'!$G$7:$G$206)+((A282&gt;='Project Plan'!$F$7:$F$206)*(A282&lt;'Project Plan'!$G$7:$G$206)*(A282-'Project Plan'!$F$7:$F$206+1)/('Project Plan'!$G$7:$G$206-'Project Plan'!$F$7:$F$206+1))))/SUMPRODUCT(--('Project Plan'!$A$7:$A$206&lt;&gt;""),('Project Plan'!$P$7:$P$206+('Project Plan'!$P$7:$P$206=""))),0))</x:f>
      </x:c>
      <x:c r="C282" s="162" t="str">
        <x:f>IF(A282="","",IF(A282&gt;$F$2,"",IF(A282=$F$2,$H$2,IFERROR(LOOKUP(2,1/(($G$7:$G$106&lt;&gt;"")*($G$7:$G$106&lt;=A282)),$H$7:$H$106),""))))</x:f>
      </x:c>
      <x:c r="D282" s="162" t="str">
        <x:f>IF(C282="","",C282-B282)</x:f>
      </x:c>
      <x:c r="E282" s="163" t="str">
        <x:f>IF(D282="","",IF(D282&gt;=0,"On / Ahead",IF(D282&gt;=-0.05,"Watch","Behind")))</x:f>
      </x:c>
      <x:c r="J282"/>
      <x:c r="K282"/>
      <x:c r="L282"/>
      <x:c r="M282" t="str">
        <x:f>IF(A282="","",TEXT(A282,"mmm d"))</x:f>
      </x:c>
      <x:c r="N282" s="14" t="e">
        <x:f>IF(B282="",NA(),B282)</x:f>
        <x:v>#N/A</x:v>
      </x:c>
      <x:c r="O282" s="14" t="e">
        <x:f>IF(OR(P282="",$B$2="",$F$2="",P282&lt;$B$2,P282&gt;$F$2),NA(),IF(Q282=0,IF($F$2=$B$2,$H$2,MAX(0,MIN(1,$H$2*(3*MAX(0,MIN(1,(P282-$B$2)/($F$2-$B$2)))^2-2*MAX(0,MIN(1,(P282-$B$2)/($F$2-$B$2)))^3)))),MAX(0,MIN(1,T282+(V282-T282)*(3*W282^2-2*W282^3)))))</x:f>
        <x:v>#N/A</x:v>
      </x:c>
      <x:c r="P282" s="189" t="str">
        <x:f>A282</x:f>
      </x:c>
      <x:c r="Q282" t="n">
        <x:f>COUNT($G$7:$G$106)</x:f>
        <x:v>0</x:v>
      </x:c>
      <x:c r="R282" t="str">
        <x:f>IF(OR(P282="",$B$2="",$F$2="",P282&lt;$B$2,P282&gt;$F$2),"",IF(Q282=0,0,IF(P282&lt;$G$7,0,IF(P282&gt;=INDEX($G$7:$G$106,Q282),Q282,MATCH(P282,$G$7:$G$106,1)))))</x:f>
      </x:c>
      <x:c r="S282" t="str">
        <x:f>IF(R282="","",IF(R282=0,$B$2,INDEX($G$7:$G$106,R282)))</x:f>
      </x:c>
      <x:c r="T282" s="14" t="str">
        <x:f>IF(R282="","",IF(R282=0,0,INDEX($H$7:$H$106,R282)))</x:f>
      </x:c>
      <x:c r="U282" t="str">
        <x:f>IF(R282="","",IF(Q282=0,$F$2,IF(R282=0,$G$7,IF(R282&lt;Q282,INDEX($G$7:$G$106,R282+1),$F$2))))</x:f>
      </x:c>
      <x:c r="V282" s="14" t="str">
        <x:f>IF(R282="","",IF(Q282=0,$H$2,IF(R282=0,$H$7,IF(R282&lt;Q282,INDEX($H$7:$H$106,R282+1),$H$2))))</x:f>
      </x:c>
      <x:c r="W282" s="188" t="str">
        <x:f>IF(R282="","",IF(U282=S282,1,MAX(0,MIN(1,(P282-S282)/(U282-S282)))))</x:f>
      </x:c>
    </x:row>
    <x:row r="283">
      <x:c r="A283" s="159" t="str">
        <x:f>IF(OR(A282="",A282&gt;=$D$2),"",A282+1)</x:f>
      </x:c>
      <x:c r="B283" s="162" t="str">
        <x:f>IF(A283="","",IFERROR(SUMPRODUCT(--('Project Plan'!$A$7:$A$206&lt;&gt;""),('Project Plan'!$P$7:$P$206+('Project Plan'!$P$7:$P$206="")),--('Project Plan'!$F$7:$F$206&lt;&gt;""),--('Project Plan'!$G$7:$G$206&lt;&gt;""),((A283&gt;='Project Plan'!$G$7:$G$206)+((A283&gt;='Project Plan'!$F$7:$F$206)*(A283&lt;'Project Plan'!$G$7:$G$206)*(A283-'Project Plan'!$F$7:$F$206+1)/('Project Plan'!$G$7:$G$206-'Project Plan'!$F$7:$F$206+1))))/SUMPRODUCT(--('Project Plan'!$A$7:$A$206&lt;&gt;""),('Project Plan'!$P$7:$P$206+('Project Plan'!$P$7:$P$206=""))),0))</x:f>
      </x:c>
      <x:c r="C283" s="162" t="str">
        <x:f>IF(A283="","",IF(A283&gt;$F$2,"",IF(A283=$F$2,$H$2,IFERROR(LOOKUP(2,1/(($G$7:$G$106&lt;&gt;"")*($G$7:$G$106&lt;=A283)),$H$7:$H$106),""))))</x:f>
      </x:c>
      <x:c r="D283" s="162" t="str">
        <x:f>IF(C283="","",C283-B283)</x:f>
      </x:c>
      <x:c r="E283" s="163" t="str">
        <x:f>IF(D283="","",IF(D283&gt;=0,"On / Ahead",IF(D283&gt;=-0.05,"Watch","Behind")))</x:f>
      </x:c>
      <x:c r="J283"/>
      <x:c r="K283"/>
      <x:c r="L283"/>
      <x:c r="M283" t="str">
        <x:f>IF(A283="","",TEXT(A283,"mmm d"))</x:f>
      </x:c>
      <x:c r="N283" s="14" t="e">
        <x:f>IF(B283="",NA(),B283)</x:f>
        <x:v>#N/A</x:v>
      </x:c>
      <x:c r="O283" s="14" t="e">
        <x:f>IF(OR(P283="",$B$2="",$F$2="",P283&lt;$B$2,P283&gt;$F$2),NA(),IF(Q283=0,IF($F$2=$B$2,$H$2,MAX(0,MIN(1,$H$2*(3*MAX(0,MIN(1,(P283-$B$2)/($F$2-$B$2)))^2-2*MAX(0,MIN(1,(P283-$B$2)/($F$2-$B$2)))^3)))),MAX(0,MIN(1,T283+(V283-T283)*(3*W283^2-2*W283^3)))))</x:f>
        <x:v>#N/A</x:v>
      </x:c>
      <x:c r="P283" s="189" t="str">
        <x:f>A283</x:f>
      </x:c>
      <x:c r="Q283" t="n">
        <x:f>COUNT($G$7:$G$106)</x:f>
        <x:v>0</x:v>
      </x:c>
      <x:c r="R283" t="str">
        <x:f>IF(OR(P283="",$B$2="",$F$2="",P283&lt;$B$2,P283&gt;$F$2),"",IF(Q283=0,0,IF(P283&lt;$G$7,0,IF(P283&gt;=INDEX($G$7:$G$106,Q283),Q283,MATCH(P283,$G$7:$G$106,1)))))</x:f>
      </x:c>
      <x:c r="S283" t="str">
        <x:f>IF(R283="","",IF(R283=0,$B$2,INDEX($G$7:$G$106,R283)))</x:f>
      </x:c>
      <x:c r="T283" s="14" t="str">
        <x:f>IF(R283="","",IF(R283=0,0,INDEX($H$7:$H$106,R283)))</x:f>
      </x:c>
      <x:c r="U283" t="str">
        <x:f>IF(R283="","",IF(Q283=0,$F$2,IF(R283=0,$G$7,IF(R283&lt;Q283,INDEX($G$7:$G$106,R283+1),$F$2))))</x:f>
      </x:c>
      <x:c r="V283" s="14" t="str">
        <x:f>IF(R283="","",IF(Q283=0,$H$2,IF(R283=0,$H$7,IF(R283&lt;Q283,INDEX($H$7:$H$106,R283+1),$H$2))))</x:f>
      </x:c>
      <x:c r="W283" s="188" t="str">
        <x:f>IF(R283="","",IF(U283=S283,1,MAX(0,MIN(1,(P283-S283)/(U283-S283)))))</x:f>
      </x:c>
    </x:row>
    <x:row r="284">
      <x:c r="A284" s="159" t="str">
        <x:f>IF(OR(A283="",A283&gt;=$D$2),"",A283+1)</x:f>
      </x:c>
      <x:c r="B284" s="162" t="str">
        <x:f>IF(A284="","",IFERROR(SUMPRODUCT(--('Project Plan'!$A$7:$A$206&lt;&gt;""),('Project Plan'!$P$7:$P$206+('Project Plan'!$P$7:$P$206="")),--('Project Plan'!$F$7:$F$206&lt;&gt;""),--('Project Plan'!$G$7:$G$206&lt;&gt;""),((A284&gt;='Project Plan'!$G$7:$G$206)+((A284&gt;='Project Plan'!$F$7:$F$206)*(A284&lt;'Project Plan'!$G$7:$G$206)*(A284-'Project Plan'!$F$7:$F$206+1)/('Project Plan'!$G$7:$G$206-'Project Plan'!$F$7:$F$206+1))))/SUMPRODUCT(--('Project Plan'!$A$7:$A$206&lt;&gt;""),('Project Plan'!$P$7:$P$206+('Project Plan'!$P$7:$P$206=""))),0))</x:f>
      </x:c>
      <x:c r="C284" s="162" t="str">
        <x:f>IF(A284="","",IF(A284&gt;$F$2,"",IF(A284=$F$2,$H$2,IFERROR(LOOKUP(2,1/(($G$7:$G$106&lt;&gt;"")*($G$7:$G$106&lt;=A284)),$H$7:$H$106),""))))</x:f>
      </x:c>
      <x:c r="D284" s="162" t="str">
        <x:f>IF(C284="","",C284-B284)</x:f>
      </x:c>
      <x:c r="E284" s="163" t="str">
        <x:f>IF(D284="","",IF(D284&gt;=0,"On / Ahead",IF(D284&gt;=-0.05,"Watch","Behind")))</x:f>
      </x:c>
      <x:c r="J284"/>
      <x:c r="K284"/>
      <x:c r="L284"/>
      <x:c r="M284" t="str">
        <x:f>IF(A284="","",TEXT(A284,"mmm d"))</x:f>
      </x:c>
      <x:c r="N284" s="14" t="e">
        <x:f>IF(B284="",NA(),B284)</x:f>
        <x:v>#N/A</x:v>
      </x:c>
      <x:c r="O284" s="14" t="e">
        <x:f>IF(OR(P284="",$B$2="",$F$2="",P284&lt;$B$2,P284&gt;$F$2),NA(),IF(Q284=0,IF($F$2=$B$2,$H$2,MAX(0,MIN(1,$H$2*(3*MAX(0,MIN(1,(P284-$B$2)/($F$2-$B$2)))^2-2*MAX(0,MIN(1,(P284-$B$2)/($F$2-$B$2)))^3)))),MAX(0,MIN(1,T284+(V284-T284)*(3*W284^2-2*W284^3)))))</x:f>
        <x:v>#N/A</x:v>
      </x:c>
      <x:c r="P284" s="189" t="str">
        <x:f>A284</x:f>
      </x:c>
      <x:c r="Q284" t="n">
        <x:f>COUNT($G$7:$G$106)</x:f>
        <x:v>0</x:v>
      </x:c>
      <x:c r="R284" t="str">
        <x:f>IF(OR(P284="",$B$2="",$F$2="",P284&lt;$B$2,P284&gt;$F$2),"",IF(Q284=0,0,IF(P284&lt;$G$7,0,IF(P284&gt;=INDEX($G$7:$G$106,Q284),Q284,MATCH(P284,$G$7:$G$106,1)))))</x:f>
      </x:c>
      <x:c r="S284" t="str">
        <x:f>IF(R284="","",IF(R284=0,$B$2,INDEX($G$7:$G$106,R284)))</x:f>
      </x:c>
      <x:c r="T284" s="14" t="str">
        <x:f>IF(R284="","",IF(R284=0,0,INDEX($H$7:$H$106,R284)))</x:f>
      </x:c>
      <x:c r="U284" t="str">
        <x:f>IF(R284="","",IF(Q284=0,$F$2,IF(R284=0,$G$7,IF(R284&lt;Q284,INDEX($G$7:$G$106,R284+1),$F$2))))</x:f>
      </x:c>
      <x:c r="V284" s="14" t="str">
        <x:f>IF(R284="","",IF(Q284=0,$H$2,IF(R284=0,$H$7,IF(R284&lt;Q284,INDEX($H$7:$H$106,R284+1),$H$2))))</x:f>
      </x:c>
      <x:c r="W284" s="188" t="str">
        <x:f>IF(R284="","",IF(U284=S284,1,MAX(0,MIN(1,(P284-S284)/(U284-S284)))))</x:f>
      </x:c>
    </x:row>
    <x:row r="285">
      <x:c r="A285" s="159" t="str">
        <x:f>IF(OR(A284="",A284&gt;=$D$2),"",A284+1)</x:f>
      </x:c>
      <x:c r="B285" s="162" t="str">
        <x:f>IF(A285="","",IFERROR(SUMPRODUCT(--('Project Plan'!$A$7:$A$206&lt;&gt;""),('Project Plan'!$P$7:$P$206+('Project Plan'!$P$7:$P$206="")),--('Project Plan'!$F$7:$F$206&lt;&gt;""),--('Project Plan'!$G$7:$G$206&lt;&gt;""),((A285&gt;='Project Plan'!$G$7:$G$206)+((A285&gt;='Project Plan'!$F$7:$F$206)*(A285&lt;'Project Plan'!$G$7:$G$206)*(A285-'Project Plan'!$F$7:$F$206+1)/('Project Plan'!$G$7:$G$206-'Project Plan'!$F$7:$F$206+1))))/SUMPRODUCT(--('Project Plan'!$A$7:$A$206&lt;&gt;""),('Project Plan'!$P$7:$P$206+('Project Plan'!$P$7:$P$206=""))),0))</x:f>
      </x:c>
      <x:c r="C285" s="162" t="str">
        <x:f>IF(A285="","",IF(A285&gt;$F$2,"",IF(A285=$F$2,$H$2,IFERROR(LOOKUP(2,1/(($G$7:$G$106&lt;&gt;"")*($G$7:$G$106&lt;=A285)),$H$7:$H$106),""))))</x:f>
      </x:c>
      <x:c r="D285" s="162" t="str">
        <x:f>IF(C285="","",C285-B285)</x:f>
      </x:c>
      <x:c r="E285" s="163" t="str">
        <x:f>IF(D285="","",IF(D285&gt;=0,"On / Ahead",IF(D285&gt;=-0.05,"Watch","Behind")))</x:f>
      </x:c>
      <x:c r="J285"/>
      <x:c r="K285"/>
      <x:c r="L285"/>
      <x:c r="M285" t="str">
        <x:f>IF(A285="","",TEXT(A285,"mmm d"))</x:f>
      </x:c>
      <x:c r="N285" s="14" t="e">
        <x:f>IF(B285="",NA(),B285)</x:f>
        <x:v>#N/A</x:v>
      </x:c>
      <x:c r="O285" s="14" t="e">
        <x:f>IF(OR(P285="",$B$2="",$F$2="",P285&lt;$B$2,P285&gt;$F$2),NA(),IF(Q285=0,IF($F$2=$B$2,$H$2,MAX(0,MIN(1,$H$2*(3*MAX(0,MIN(1,(P285-$B$2)/($F$2-$B$2)))^2-2*MAX(0,MIN(1,(P285-$B$2)/($F$2-$B$2)))^3)))),MAX(0,MIN(1,T285+(V285-T285)*(3*W285^2-2*W285^3)))))</x:f>
        <x:v>#N/A</x:v>
      </x:c>
      <x:c r="P285" s="189" t="str">
        <x:f>A285</x:f>
      </x:c>
      <x:c r="Q285" t="n">
        <x:f>COUNT($G$7:$G$106)</x:f>
        <x:v>0</x:v>
      </x:c>
      <x:c r="R285" t="str">
        <x:f>IF(OR(P285="",$B$2="",$F$2="",P285&lt;$B$2,P285&gt;$F$2),"",IF(Q285=0,0,IF(P285&lt;$G$7,0,IF(P285&gt;=INDEX($G$7:$G$106,Q285),Q285,MATCH(P285,$G$7:$G$106,1)))))</x:f>
      </x:c>
      <x:c r="S285" t="str">
        <x:f>IF(R285="","",IF(R285=0,$B$2,INDEX($G$7:$G$106,R285)))</x:f>
      </x:c>
      <x:c r="T285" s="14" t="str">
        <x:f>IF(R285="","",IF(R285=0,0,INDEX($H$7:$H$106,R285)))</x:f>
      </x:c>
      <x:c r="U285" t="str">
        <x:f>IF(R285="","",IF(Q285=0,$F$2,IF(R285=0,$G$7,IF(R285&lt;Q285,INDEX($G$7:$G$106,R285+1),$F$2))))</x:f>
      </x:c>
      <x:c r="V285" s="14" t="str">
        <x:f>IF(R285="","",IF(Q285=0,$H$2,IF(R285=0,$H$7,IF(R285&lt;Q285,INDEX($H$7:$H$106,R285+1),$H$2))))</x:f>
      </x:c>
      <x:c r="W285" s="188" t="str">
        <x:f>IF(R285="","",IF(U285=S285,1,MAX(0,MIN(1,(P285-S285)/(U285-S285)))))</x:f>
      </x:c>
    </x:row>
    <x:row r="286">
      <x:c r="A286" s="159" t="str">
        <x:f>IF(OR(A285="",A285&gt;=$D$2),"",A285+1)</x:f>
      </x:c>
      <x:c r="B286" s="162" t="str">
        <x:f>IF(A286="","",IFERROR(SUMPRODUCT(--('Project Plan'!$A$7:$A$206&lt;&gt;""),('Project Plan'!$P$7:$P$206+('Project Plan'!$P$7:$P$206="")),--('Project Plan'!$F$7:$F$206&lt;&gt;""),--('Project Plan'!$G$7:$G$206&lt;&gt;""),((A286&gt;='Project Plan'!$G$7:$G$206)+((A286&gt;='Project Plan'!$F$7:$F$206)*(A286&lt;'Project Plan'!$G$7:$G$206)*(A286-'Project Plan'!$F$7:$F$206+1)/('Project Plan'!$G$7:$G$206-'Project Plan'!$F$7:$F$206+1))))/SUMPRODUCT(--('Project Plan'!$A$7:$A$206&lt;&gt;""),('Project Plan'!$P$7:$P$206+('Project Plan'!$P$7:$P$206=""))),0))</x:f>
      </x:c>
      <x:c r="C286" s="162" t="str">
        <x:f>IF(A286="","",IF(A286&gt;$F$2,"",IF(A286=$F$2,$H$2,IFERROR(LOOKUP(2,1/(($G$7:$G$106&lt;&gt;"")*($G$7:$G$106&lt;=A286)),$H$7:$H$106),""))))</x:f>
      </x:c>
      <x:c r="D286" s="162" t="str">
        <x:f>IF(C286="","",C286-B286)</x:f>
      </x:c>
      <x:c r="E286" s="163" t="str">
        <x:f>IF(D286="","",IF(D286&gt;=0,"On / Ahead",IF(D286&gt;=-0.05,"Watch","Behind")))</x:f>
      </x:c>
      <x:c r="J286"/>
      <x:c r="K286"/>
      <x:c r="L286"/>
      <x:c r="M286" t="str">
        <x:f>IF(A286="","",TEXT(A286,"mmm d"))</x:f>
      </x:c>
      <x:c r="N286" s="14" t="e">
        <x:f>IF(B286="",NA(),B286)</x:f>
        <x:v>#N/A</x:v>
      </x:c>
      <x:c r="O286" s="14" t="e">
        <x:f>IF(OR(P286="",$B$2="",$F$2="",P286&lt;$B$2,P286&gt;$F$2),NA(),IF(Q286=0,IF($F$2=$B$2,$H$2,MAX(0,MIN(1,$H$2*(3*MAX(0,MIN(1,(P286-$B$2)/($F$2-$B$2)))^2-2*MAX(0,MIN(1,(P286-$B$2)/($F$2-$B$2)))^3)))),MAX(0,MIN(1,T286+(V286-T286)*(3*W286^2-2*W286^3)))))</x:f>
        <x:v>#N/A</x:v>
      </x:c>
      <x:c r="P286" s="189" t="str">
        <x:f>A286</x:f>
      </x:c>
      <x:c r="Q286" t="n">
        <x:f>COUNT($G$7:$G$106)</x:f>
        <x:v>0</x:v>
      </x:c>
      <x:c r="R286" t="str">
        <x:f>IF(OR(P286="",$B$2="",$F$2="",P286&lt;$B$2,P286&gt;$F$2),"",IF(Q286=0,0,IF(P286&lt;$G$7,0,IF(P286&gt;=INDEX($G$7:$G$106,Q286),Q286,MATCH(P286,$G$7:$G$106,1)))))</x:f>
      </x:c>
      <x:c r="S286" t="str">
        <x:f>IF(R286="","",IF(R286=0,$B$2,INDEX($G$7:$G$106,R286)))</x:f>
      </x:c>
      <x:c r="T286" s="14" t="str">
        <x:f>IF(R286="","",IF(R286=0,0,INDEX($H$7:$H$106,R286)))</x:f>
      </x:c>
      <x:c r="U286" t="str">
        <x:f>IF(R286="","",IF(Q286=0,$F$2,IF(R286=0,$G$7,IF(R286&lt;Q286,INDEX($G$7:$G$106,R286+1),$F$2))))</x:f>
      </x:c>
      <x:c r="V286" s="14" t="str">
        <x:f>IF(R286="","",IF(Q286=0,$H$2,IF(R286=0,$H$7,IF(R286&lt;Q286,INDEX($H$7:$H$106,R286+1),$H$2))))</x:f>
      </x:c>
      <x:c r="W286" s="188" t="str">
        <x:f>IF(R286="","",IF(U286=S286,1,MAX(0,MIN(1,(P286-S286)/(U286-S286)))))</x:f>
      </x:c>
    </x:row>
    <x:row r="287">
      <x:c r="A287" s="159" t="str">
        <x:f>IF(OR(A286="",A286&gt;=$D$2),"",A286+1)</x:f>
      </x:c>
      <x:c r="B287" s="162" t="str">
        <x:f>IF(A287="","",IFERROR(SUMPRODUCT(--('Project Plan'!$A$7:$A$206&lt;&gt;""),('Project Plan'!$P$7:$P$206+('Project Plan'!$P$7:$P$206="")),--('Project Plan'!$F$7:$F$206&lt;&gt;""),--('Project Plan'!$G$7:$G$206&lt;&gt;""),((A287&gt;='Project Plan'!$G$7:$G$206)+((A287&gt;='Project Plan'!$F$7:$F$206)*(A287&lt;'Project Plan'!$G$7:$G$206)*(A287-'Project Plan'!$F$7:$F$206+1)/('Project Plan'!$G$7:$G$206-'Project Plan'!$F$7:$F$206+1))))/SUMPRODUCT(--('Project Plan'!$A$7:$A$206&lt;&gt;""),('Project Plan'!$P$7:$P$206+('Project Plan'!$P$7:$P$206=""))),0))</x:f>
      </x:c>
      <x:c r="C287" s="162" t="str">
        <x:f>IF(A287="","",IF(A287&gt;$F$2,"",IF(A287=$F$2,$H$2,IFERROR(LOOKUP(2,1/(($G$7:$G$106&lt;&gt;"")*($G$7:$G$106&lt;=A287)),$H$7:$H$106),""))))</x:f>
      </x:c>
      <x:c r="D287" s="162" t="str">
        <x:f>IF(C287="","",C287-B287)</x:f>
      </x:c>
      <x:c r="E287" s="163" t="str">
        <x:f>IF(D287="","",IF(D287&gt;=0,"On / Ahead",IF(D287&gt;=-0.05,"Watch","Behind")))</x:f>
      </x:c>
      <x:c r="J287"/>
      <x:c r="K287"/>
      <x:c r="L287"/>
      <x:c r="M287" t="str">
        <x:f>IF(A287="","",TEXT(A287,"mmm d"))</x:f>
      </x:c>
      <x:c r="N287" s="14" t="e">
        <x:f>IF(B287="",NA(),B287)</x:f>
        <x:v>#N/A</x:v>
      </x:c>
      <x:c r="O287" s="14" t="e">
        <x:f>IF(OR(P287="",$B$2="",$F$2="",P287&lt;$B$2,P287&gt;$F$2),NA(),IF(Q287=0,IF($F$2=$B$2,$H$2,MAX(0,MIN(1,$H$2*(3*MAX(0,MIN(1,(P287-$B$2)/($F$2-$B$2)))^2-2*MAX(0,MIN(1,(P287-$B$2)/($F$2-$B$2)))^3)))),MAX(0,MIN(1,T287+(V287-T287)*(3*W287^2-2*W287^3)))))</x:f>
        <x:v>#N/A</x:v>
      </x:c>
      <x:c r="P287" s="189" t="str">
        <x:f>A287</x:f>
      </x:c>
      <x:c r="Q287" t="n">
        <x:f>COUNT($G$7:$G$106)</x:f>
        <x:v>0</x:v>
      </x:c>
      <x:c r="R287" t="str">
        <x:f>IF(OR(P287="",$B$2="",$F$2="",P287&lt;$B$2,P287&gt;$F$2),"",IF(Q287=0,0,IF(P287&lt;$G$7,0,IF(P287&gt;=INDEX($G$7:$G$106,Q287),Q287,MATCH(P287,$G$7:$G$106,1)))))</x:f>
      </x:c>
      <x:c r="S287" t="str">
        <x:f>IF(R287="","",IF(R287=0,$B$2,INDEX($G$7:$G$106,R287)))</x:f>
      </x:c>
      <x:c r="T287" s="14" t="str">
        <x:f>IF(R287="","",IF(R287=0,0,INDEX($H$7:$H$106,R287)))</x:f>
      </x:c>
      <x:c r="U287" t="str">
        <x:f>IF(R287="","",IF(Q287=0,$F$2,IF(R287=0,$G$7,IF(R287&lt;Q287,INDEX($G$7:$G$106,R287+1),$F$2))))</x:f>
      </x:c>
      <x:c r="V287" s="14" t="str">
        <x:f>IF(R287="","",IF(Q287=0,$H$2,IF(R287=0,$H$7,IF(R287&lt;Q287,INDEX($H$7:$H$106,R287+1),$H$2))))</x:f>
      </x:c>
      <x:c r="W287" s="188" t="str">
        <x:f>IF(R287="","",IF(U287=S287,1,MAX(0,MIN(1,(P287-S287)/(U287-S287)))))</x:f>
      </x:c>
    </x:row>
    <x:row r="288">
      <x:c r="A288" s="159" t="str">
        <x:f>IF(OR(A287="",A287&gt;=$D$2),"",A287+1)</x:f>
      </x:c>
      <x:c r="B288" s="162" t="str">
        <x:f>IF(A288="","",IFERROR(SUMPRODUCT(--('Project Plan'!$A$7:$A$206&lt;&gt;""),('Project Plan'!$P$7:$P$206+('Project Plan'!$P$7:$P$206="")),--('Project Plan'!$F$7:$F$206&lt;&gt;""),--('Project Plan'!$G$7:$G$206&lt;&gt;""),((A288&gt;='Project Plan'!$G$7:$G$206)+((A288&gt;='Project Plan'!$F$7:$F$206)*(A288&lt;'Project Plan'!$G$7:$G$206)*(A288-'Project Plan'!$F$7:$F$206+1)/('Project Plan'!$G$7:$G$206-'Project Plan'!$F$7:$F$206+1))))/SUMPRODUCT(--('Project Plan'!$A$7:$A$206&lt;&gt;""),('Project Plan'!$P$7:$P$206+('Project Plan'!$P$7:$P$206=""))),0))</x:f>
      </x:c>
      <x:c r="C288" s="162" t="str">
        <x:f>IF(A288="","",IF(A288&gt;$F$2,"",IF(A288=$F$2,$H$2,IFERROR(LOOKUP(2,1/(($G$7:$G$106&lt;&gt;"")*($G$7:$G$106&lt;=A288)),$H$7:$H$106),""))))</x:f>
      </x:c>
      <x:c r="D288" s="162" t="str">
        <x:f>IF(C288="","",C288-B288)</x:f>
      </x:c>
      <x:c r="E288" s="163" t="str">
        <x:f>IF(D288="","",IF(D288&gt;=0,"On / Ahead",IF(D288&gt;=-0.05,"Watch","Behind")))</x:f>
      </x:c>
      <x:c r="J288"/>
      <x:c r="K288"/>
      <x:c r="L288"/>
      <x:c r="M288" t="str">
        <x:f>IF(A288="","",TEXT(A288,"mmm d"))</x:f>
      </x:c>
      <x:c r="N288" s="14" t="e">
        <x:f>IF(B288="",NA(),B288)</x:f>
        <x:v>#N/A</x:v>
      </x:c>
      <x:c r="O288" s="14" t="e">
        <x:f>IF(OR(P288="",$B$2="",$F$2="",P288&lt;$B$2,P288&gt;$F$2),NA(),IF(Q288=0,IF($F$2=$B$2,$H$2,MAX(0,MIN(1,$H$2*(3*MAX(0,MIN(1,(P288-$B$2)/($F$2-$B$2)))^2-2*MAX(0,MIN(1,(P288-$B$2)/($F$2-$B$2)))^3)))),MAX(0,MIN(1,T288+(V288-T288)*(3*W288^2-2*W288^3)))))</x:f>
        <x:v>#N/A</x:v>
      </x:c>
      <x:c r="P288" s="189" t="str">
        <x:f>A288</x:f>
      </x:c>
      <x:c r="Q288" t="n">
        <x:f>COUNT($G$7:$G$106)</x:f>
        <x:v>0</x:v>
      </x:c>
      <x:c r="R288" t="str">
        <x:f>IF(OR(P288="",$B$2="",$F$2="",P288&lt;$B$2,P288&gt;$F$2),"",IF(Q288=0,0,IF(P288&lt;$G$7,0,IF(P288&gt;=INDEX($G$7:$G$106,Q288),Q288,MATCH(P288,$G$7:$G$106,1)))))</x:f>
      </x:c>
      <x:c r="S288" t="str">
        <x:f>IF(R288="","",IF(R288=0,$B$2,INDEX($G$7:$G$106,R288)))</x:f>
      </x:c>
      <x:c r="T288" s="14" t="str">
        <x:f>IF(R288="","",IF(R288=0,0,INDEX($H$7:$H$106,R288)))</x:f>
      </x:c>
      <x:c r="U288" t="str">
        <x:f>IF(R288="","",IF(Q288=0,$F$2,IF(R288=0,$G$7,IF(R288&lt;Q288,INDEX($G$7:$G$106,R288+1),$F$2))))</x:f>
      </x:c>
      <x:c r="V288" s="14" t="str">
        <x:f>IF(R288="","",IF(Q288=0,$H$2,IF(R288=0,$H$7,IF(R288&lt;Q288,INDEX($H$7:$H$106,R288+1),$H$2))))</x:f>
      </x:c>
      <x:c r="W288" s="188" t="str">
        <x:f>IF(R288="","",IF(U288=S288,1,MAX(0,MIN(1,(P288-S288)/(U288-S288)))))</x:f>
      </x:c>
    </x:row>
    <x:row r="289">
      <x:c r="A289" s="159" t="str">
        <x:f>IF(OR(A288="",A288&gt;=$D$2),"",A288+1)</x:f>
      </x:c>
      <x:c r="B289" s="162" t="str">
        <x:f>IF(A289="","",IFERROR(SUMPRODUCT(--('Project Plan'!$A$7:$A$206&lt;&gt;""),('Project Plan'!$P$7:$P$206+('Project Plan'!$P$7:$P$206="")),--('Project Plan'!$F$7:$F$206&lt;&gt;""),--('Project Plan'!$G$7:$G$206&lt;&gt;""),((A289&gt;='Project Plan'!$G$7:$G$206)+((A289&gt;='Project Plan'!$F$7:$F$206)*(A289&lt;'Project Plan'!$G$7:$G$206)*(A289-'Project Plan'!$F$7:$F$206+1)/('Project Plan'!$G$7:$G$206-'Project Plan'!$F$7:$F$206+1))))/SUMPRODUCT(--('Project Plan'!$A$7:$A$206&lt;&gt;""),('Project Plan'!$P$7:$P$206+('Project Plan'!$P$7:$P$206=""))),0))</x:f>
      </x:c>
      <x:c r="C289" s="162" t="str">
        <x:f>IF(A289="","",IF(A289&gt;$F$2,"",IF(A289=$F$2,$H$2,IFERROR(LOOKUP(2,1/(($G$7:$G$106&lt;&gt;"")*($G$7:$G$106&lt;=A289)),$H$7:$H$106),""))))</x:f>
      </x:c>
      <x:c r="D289" s="162" t="str">
        <x:f>IF(C289="","",C289-B289)</x:f>
      </x:c>
      <x:c r="E289" s="163" t="str">
        <x:f>IF(D289="","",IF(D289&gt;=0,"On / Ahead",IF(D289&gt;=-0.05,"Watch","Behind")))</x:f>
      </x:c>
      <x:c r="J289"/>
      <x:c r="K289"/>
      <x:c r="L289"/>
      <x:c r="M289" t="str">
        <x:f>IF(A289="","",TEXT(A289,"mmm d"))</x:f>
      </x:c>
      <x:c r="N289" s="14" t="e">
        <x:f>IF(B289="",NA(),B289)</x:f>
        <x:v>#N/A</x:v>
      </x:c>
      <x:c r="O289" s="14" t="e">
        <x:f>IF(OR(P289="",$B$2="",$F$2="",P289&lt;$B$2,P289&gt;$F$2),NA(),IF(Q289=0,IF($F$2=$B$2,$H$2,MAX(0,MIN(1,$H$2*(3*MAX(0,MIN(1,(P289-$B$2)/($F$2-$B$2)))^2-2*MAX(0,MIN(1,(P289-$B$2)/($F$2-$B$2)))^3)))),MAX(0,MIN(1,T289+(V289-T289)*(3*W289^2-2*W289^3)))))</x:f>
        <x:v>#N/A</x:v>
      </x:c>
      <x:c r="P289" s="189" t="str">
        <x:f>A289</x:f>
      </x:c>
      <x:c r="Q289" t="n">
        <x:f>COUNT($G$7:$G$106)</x:f>
        <x:v>0</x:v>
      </x:c>
      <x:c r="R289" t="str">
        <x:f>IF(OR(P289="",$B$2="",$F$2="",P289&lt;$B$2,P289&gt;$F$2),"",IF(Q289=0,0,IF(P289&lt;$G$7,0,IF(P289&gt;=INDEX($G$7:$G$106,Q289),Q289,MATCH(P289,$G$7:$G$106,1)))))</x:f>
      </x:c>
      <x:c r="S289" t="str">
        <x:f>IF(R289="","",IF(R289=0,$B$2,INDEX($G$7:$G$106,R289)))</x:f>
      </x:c>
      <x:c r="T289" s="14" t="str">
        <x:f>IF(R289="","",IF(R289=0,0,INDEX($H$7:$H$106,R289)))</x:f>
      </x:c>
      <x:c r="U289" t="str">
        <x:f>IF(R289="","",IF(Q289=0,$F$2,IF(R289=0,$G$7,IF(R289&lt;Q289,INDEX($G$7:$G$106,R289+1),$F$2))))</x:f>
      </x:c>
      <x:c r="V289" s="14" t="str">
        <x:f>IF(R289="","",IF(Q289=0,$H$2,IF(R289=0,$H$7,IF(R289&lt;Q289,INDEX($H$7:$H$106,R289+1),$H$2))))</x:f>
      </x:c>
      <x:c r="W289" s="188" t="str">
        <x:f>IF(R289="","",IF(U289=S289,1,MAX(0,MIN(1,(P289-S289)/(U289-S289)))))</x:f>
      </x:c>
    </x:row>
    <x:row r="290">
      <x:c r="A290" s="159" t="str">
        <x:f>IF(OR(A289="",A289&gt;=$D$2),"",A289+1)</x:f>
      </x:c>
      <x:c r="B290" s="162" t="str">
        <x:f>IF(A290="","",IFERROR(SUMPRODUCT(--('Project Plan'!$A$7:$A$206&lt;&gt;""),('Project Plan'!$P$7:$P$206+('Project Plan'!$P$7:$P$206="")),--('Project Plan'!$F$7:$F$206&lt;&gt;""),--('Project Plan'!$G$7:$G$206&lt;&gt;""),((A290&gt;='Project Plan'!$G$7:$G$206)+((A290&gt;='Project Plan'!$F$7:$F$206)*(A290&lt;'Project Plan'!$G$7:$G$206)*(A290-'Project Plan'!$F$7:$F$206+1)/('Project Plan'!$G$7:$G$206-'Project Plan'!$F$7:$F$206+1))))/SUMPRODUCT(--('Project Plan'!$A$7:$A$206&lt;&gt;""),('Project Plan'!$P$7:$P$206+('Project Plan'!$P$7:$P$206=""))),0))</x:f>
      </x:c>
      <x:c r="C290" s="162" t="str">
        <x:f>IF(A290="","",IF(A290&gt;$F$2,"",IF(A290=$F$2,$H$2,IFERROR(LOOKUP(2,1/(($G$7:$G$106&lt;&gt;"")*($G$7:$G$106&lt;=A290)),$H$7:$H$106),""))))</x:f>
      </x:c>
      <x:c r="D290" s="162" t="str">
        <x:f>IF(C290="","",C290-B290)</x:f>
      </x:c>
      <x:c r="E290" s="163" t="str">
        <x:f>IF(D290="","",IF(D290&gt;=0,"On / Ahead",IF(D290&gt;=-0.05,"Watch","Behind")))</x:f>
      </x:c>
      <x:c r="J290"/>
      <x:c r="K290"/>
      <x:c r="L290"/>
      <x:c r="M290" t="str">
        <x:f>IF(A290="","",TEXT(A290,"mmm d"))</x:f>
      </x:c>
      <x:c r="N290" s="14" t="e">
        <x:f>IF(B290="",NA(),B290)</x:f>
        <x:v>#N/A</x:v>
      </x:c>
      <x:c r="O290" s="14" t="e">
        <x:f>IF(OR(P290="",$B$2="",$F$2="",P290&lt;$B$2,P290&gt;$F$2),NA(),IF(Q290=0,IF($F$2=$B$2,$H$2,MAX(0,MIN(1,$H$2*(3*MAX(0,MIN(1,(P290-$B$2)/($F$2-$B$2)))^2-2*MAX(0,MIN(1,(P290-$B$2)/($F$2-$B$2)))^3)))),MAX(0,MIN(1,T290+(V290-T290)*(3*W290^2-2*W290^3)))))</x:f>
        <x:v>#N/A</x:v>
      </x:c>
      <x:c r="P290" s="189" t="str">
        <x:f>A290</x:f>
      </x:c>
      <x:c r="Q290" t="n">
        <x:f>COUNT($G$7:$G$106)</x:f>
        <x:v>0</x:v>
      </x:c>
      <x:c r="R290" t="str">
        <x:f>IF(OR(P290="",$B$2="",$F$2="",P290&lt;$B$2,P290&gt;$F$2),"",IF(Q290=0,0,IF(P290&lt;$G$7,0,IF(P290&gt;=INDEX($G$7:$G$106,Q290),Q290,MATCH(P290,$G$7:$G$106,1)))))</x:f>
      </x:c>
      <x:c r="S290" t="str">
        <x:f>IF(R290="","",IF(R290=0,$B$2,INDEX($G$7:$G$106,R290)))</x:f>
      </x:c>
      <x:c r="T290" s="14" t="str">
        <x:f>IF(R290="","",IF(R290=0,0,INDEX($H$7:$H$106,R290)))</x:f>
      </x:c>
      <x:c r="U290" t="str">
        <x:f>IF(R290="","",IF(Q290=0,$F$2,IF(R290=0,$G$7,IF(R290&lt;Q290,INDEX($G$7:$G$106,R290+1),$F$2))))</x:f>
      </x:c>
      <x:c r="V290" s="14" t="str">
        <x:f>IF(R290="","",IF(Q290=0,$H$2,IF(R290=0,$H$7,IF(R290&lt;Q290,INDEX($H$7:$H$106,R290+1),$H$2))))</x:f>
      </x:c>
      <x:c r="W290" s="188" t="str">
        <x:f>IF(R290="","",IF(U290=S290,1,MAX(0,MIN(1,(P290-S290)/(U290-S290)))))</x:f>
      </x:c>
    </x:row>
    <x:row r="291">
      <x:c r="A291" s="159" t="str">
        <x:f>IF(OR(A290="",A290&gt;=$D$2),"",A290+1)</x:f>
      </x:c>
      <x:c r="B291" s="162" t="str">
        <x:f>IF(A291="","",IFERROR(SUMPRODUCT(--('Project Plan'!$A$7:$A$206&lt;&gt;""),('Project Plan'!$P$7:$P$206+('Project Plan'!$P$7:$P$206="")),--('Project Plan'!$F$7:$F$206&lt;&gt;""),--('Project Plan'!$G$7:$G$206&lt;&gt;""),((A291&gt;='Project Plan'!$G$7:$G$206)+((A291&gt;='Project Plan'!$F$7:$F$206)*(A291&lt;'Project Plan'!$G$7:$G$206)*(A291-'Project Plan'!$F$7:$F$206+1)/('Project Plan'!$G$7:$G$206-'Project Plan'!$F$7:$F$206+1))))/SUMPRODUCT(--('Project Plan'!$A$7:$A$206&lt;&gt;""),('Project Plan'!$P$7:$P$206+('Project Plan'!$P$7:$P$206=""))),0))</x:f>
      </x:c>
      <x:c r="C291" s="162" t="str">
        <x:f>IF(A291="","",IF(A291&gt;$F$2,"",IF(A291=$F$2,$H$2,IFERROR(LOOKUP(2,1/(($G$7:$G$106&lt;&gt;"")*($G$7:$G$106&lt;=A291)),$H$7:$H$106),""))))</x:f>
      </x:c>
      <x:c r="D291" s="162" t="str">
        <x:f>IF(C291="","",C291-B291)</x:f>
      </x:c>
      <x:c r="E291" s="163" t="str">
        <x:f>IF(D291="","",IF(D291&gt;=0,"On / Ahead",IF(D291&gt;=-0.05,"Watch","Behind")))</x:f>
      </x:c>
      <x:c r="J291"/>
      <x:c r="K291"/>
      <x:c r="L291"/>
      <x:c r="M291" t="str">
        <x:f>IF(A291="","",TEXT(A291,"mmm d"))</x:f>
      </x:c>
      <x:c r="N291" s="14" t="e">
        <x:f>IF(B291="",NA(),B291)</x:f>
        <x:v>#N/A</x:v>
      </x:c>
      <x:c r="O291" s="14" t="e">
        <x:f>IF(OR(P291="",$B$2="",$F$2="",P291&lt;$B$2,P291&gt;$F$2),NA(),IF(Q291=0,IF($F$2=$B$2,$H$2,MAX(0,MIN(1,$H$2*(3*MAX(0,MIN(1,(P291-$B$2)/($F$2-$B$2)))^2-2*MAX(0,MIN(1,(P291-$B$2)/($F$2-$B$2)))^3)))),MAX(0,MIN(1,T291+(V291-T291)*(3*W291^2-2*W291^3)))))</x:f>
        <x:v>#N/A</x:v>
      </x:c>
      <x:c r="P291" s="189" t="str">
        <x:f>A291</x:f>
      </x:c>
      <x:c r="Q291" t="n">
        <x:f>COUNT($G$7:$G$106)</x:f>
        <x:v>0</x:v>
      </x:c>
      <x:c r="R291" t="str">
        <x:f>IF(OR(P291="",$B$2="",$F$2="",P291&lt;$B$2,P291&gt;$F$2),"",IF(Q291=0,0,IF(P291&lt;$G$7,0,IF(P291&gt;=INDEX($G$7:$G$106,Q291),Q291,MATCH(P291,$G$7:$G$106,1)))))</x:f>
      </x:c>
      <x:c r="S291" t="str">
        <x:f>IF(R291="","",IF(R291=0,$B$2,INDEX($G$7:$G$106,R291)))</x:f>
      </x:c>
      <x:c r="T291" s="14" t="str">
        <x:f>IF(R291="","",IF(R291=0,0,INDEX($H$7:$H$106,R291)))</x:f>
      </x:c>
      <x:c r="U291" t="str">
        <x:f>IF(R291="","",IF(Q291=0,$F$2,IF(R291=0,$G$7,IF(R291&lt;Q291,INDEX($G$7:$G$106,R291+1),$F$2))))</x:f>
      </x:c>
      <x:c r="V291" s="14" t="str">
        <x:f>IF(R291="","",IF(Q291=0,$H$2,IF(R291=0,$H$7,IF(R291&lt;Q291,INDEX($H$7:$H$106,R291+1),$H$2))))</x:f>
      </x:c>
      <x:c r="W291" s="188" t="str">
        <x:f>IF(R291="","",IF(U291=S291,1,MAX(0,MIN(1,(P291-S291)/(U291-S291)))))</x:f>
      </x:c>
    </x:row>
    <x:row r="292">
      <x:c r="A292" s="159" t="str">
        <x:f>IF(OR(A291="",A291&gt;=$D$2),"",A291+1)</x:f>
      </x:c>
      <x:c r="B292" s="162" t="str">
        <x:f>IF(A292="","",IFERROR(SUMPRODUCT(--('Project Plan'!$A$7:$A$206&lt;&gt;""),('Project Plan'!$P$7:$P$206+('Project Plan'!$P$7:$P$206="")),--('Project Plan'!$F$7:$F$206&lt;&gt;""),--('Project Plan'!$G$7:$G$206&lt;&gt;""),((A292&gt;='Project Plan'!$G$7:$G$206)+((A292&gt;='Project Plan'!$F$7:$F$206)*(A292&lt;'Project Plan'!$G$7:$G$206)*(A292-'Project Plan'!$F$7:$F$206+1)/('Project Plan'!$G$7:$G$206-'Project Plan'!$F$7:$F$206+1))))/SUMPRODUCT(--('Project Plan'!$A$7:$A$206&lt;&gt;""),('Project Plan'!$P$7:$P$206+('Project Plan'!$P$7:$P$206=""))),0))</x:f>
      </x:c>
      <x:c r="C292" s="162" t="str">
        <x:f>IF(A292="","",IF(A292&gt;$F$2,"",IF(A292=$F$2,$H$2,IFERROR(LOOKUP(2,1/(($G$7:$G$106&lt;&gt;"")*($G$7:$G$106&lt;=A292)),$H$7:$H$106),""))))</x:f>
      </x:c>
      <x:c r="D292" s="162" t="str">
        <x:f>IF(C292="","",C292-B292)</x:f>
      </x:c>
      <x:c r="E292" s="163" t="str">
        <x:f>IF(D292="","",IF(D292&gt;=0,"On / Ahead",IF(D292&gt;=-0.05,"Watch","Behind")))</x:f>
      </x:c>
      <x:c r="J292"/>
      <x:c r="K292"/>
      <x:c r="L292"/>
      <x:c r="M292" t="str">
        <x:f>IF(A292="","",TEXT(A292,"mmm d"))</x:f>
      </x:c>
      <x:c r="N292" s="14" t="e">
        <x:f>IF(B292="",NA(),B292)</x:f>
        <x:v>#N/A</x:v>
      </x:c>
      <x:c r="O292" s="14" t="e">
        <x:f>IF(OR(P292="",$B$2="",$F$2="",P292&lt;$B$2,P292&gt;$F$2),NA(),IF(Q292=0,IF($F$2=$B$2,$H$2,MAX(0,MIN(1,$H$2*(3*MAX(0,MIN(1,(P292-$B$2)/($F$2-$B$2)))^2-2*MAX(0,MIN(1,(P292-$B$2)/($F$2-$B$2)))^3)))),MAX(0,MIN(1,T292+(V292-T292)*(3*W292^2-2*W292^3)))))</x:f>
        <x:v>#N/A</x:v>
      </x:c>
      <x:c r="P292" s="189" t="str">
        <x:f>A292</x:f>
      </x:c>
      <x:c r="Q292" t="n">
        <x:f>COUNT($G$7:$G$106)</x:f>
        <x:v>0</x:v>
      </x:c>
      <x:c r="R292" t="str">
        <x:f>IF(OR(P292="",$B$2="",$F$2="",P292&lt;$B$2,P292&gt;$F$2),"",IF(Q292=0,0,IF(P292&lt;$G$7,0,IF(P292&gt;=INDEX($G$7:$G$106,Q292),Q292,MATCH(P292,$G$7:$G$106,1)))))</x:f>
      </x:c>
      <x:c r="S292" t="str">
        <x:f>IF(R292="","",IF(R292=0,$B$2,INDEX($G$7:$G$106,R292)))</x:f>
      </x:c>
      <x:c r="T292" s="14" t="str">
        <x:f>IF(R292="","",IF(R292=0,0,INDEX($H$7:$H$106,R292)))</x:f>
      </x:c>
      <x:c r="U292" t="str">
        <x:f>IF(R292="","",IF(Q292=0,$F$2,IF(R292=0,$G$7,IF(R292&lt;Q292,INDEX($G$7:$G$106,R292+1),$F$2))))</x:f>
      </x:c>
      <x:c r="V292" s="14" t="str">
        <x:f>IF(R292="","",IF(Q292=0,$H$2,IF(R292=0,$H$7,IF(R292&lt;Q292,INDEX($H$7:$H$106,R292+1),$H$2))))</x:f>
      </x:c>
      <x:c r="W292" s="188" t="str">
        <x:f>IF(R292="","",IF(U292=S292,1,MAX(0,MIN(1,(P292-S292)/(U292-S292)))))</x:f>
      </x:c>
    </x:row>
    <x:row r="293">
      <x:c r="A293" s="159" t="str">
        <x:f>IF(OR(A292="",A292&gt;=$D$2),"",A292+1)</x:f>
      </x:c>
      <x:c r="B293" s="162" t="str">
        <x:f>IF(A293="","",IFERROR(SUMPRODUCT(--('Project Plan'!$A$7:$A$206&lt;&gt;""),('Project Plan'!$P$7:$P$206+('Project Plan'!$P$7:$P$206="")),--('Project Plan'!$F$7:$F$206&lt;&gt;""),--('Project Plan'!$G$7:$G$206&lt;&gt;""),((A293&gt;='Project Plan'!$G$7:$G$206)+((A293&gt;='Project Plan'!$F$7:$F$206)*(A293&lt;'Project Plan'!$G$7:$G$206)*(A293-'Project Plan'!$F$7:$F$206+1)/('Project Plan'!$G$7:$G$206-'Project Plan'!$F$7:$F$206+1))))/SUMPRODUCT(--('Project Plan'!$A$7:$A$206&lt;&gt;""),('Project Plan'!$P$7:$P$206+('Project Plan'!$P$7:$P$206=""))),0))</x:f>
      </x:c>
      <x:c r="C293" s="162" t="str">
        <x:f>IF(A293="","",IF(A293&gt;$F$2,"",IF(A293=$F$2,$H$2,IFERROR(LOOKUP(2,1/(($G$7:$G$106&lt;&gt;"")*($G$7:$G$106&lt;=A293)),$H$7:$H$106),""))))</x:f>
      </x:c>
      <x:c r="D293" s="162" t="str">
        <x:f>IF(C293="","",C293-B293)</x:f>
      </x:c>
      <x:c r="E293" s="163" t="str">
        <x:f>IF(D293="","",IF(D293&gt;=0,"On / Ahead",IF(D293&gt;=-0.05,"Watch","Behind")))</x:f>
      </x:c>
      <x:c r="J293"/>
      <x:c r="K293"/>
      <x:c r="L293"/>
      <x:c r="M293" t="str">
        <x:f>IF(A293="","",TEXT(A293,"mmm d"))</x:f>
      </x:c>
      <x:c r="N293" s="14" t="e">
        <x:f>IF(B293="",NA(),B293)</x:f>
        <x:v>#N/A</x:v>
      </x:c>
      <x:c r="O293" s="14" t="e">
        <x:f>IF(OR(P293="",$B$2="",$F$2="",P293&lt;$B$2,P293&gt;$F$2),NA(),IF(Q293=0,IF($F$2=$B$2,$H$2,MAX(0,MIN(1,$H$2*(3*MAX(0,MIN(1,(P293-$B$2)/($F$2-$B$2)))^2-2*MAX(0,MIN(1,(P293-$B$2)/($F$2-$B$2)))^3)))),MAX(0,MIN(1,T293+(V293-T293)*(3*W293^2-2*W293^3)))))</x:f>
        <x:v>#N/A</x:v>
      </x:c>
      <x:c r="P293" s="189" t="str">
        <x:f>A293</x:f>
      </x:c>
      <x:c r="Q293" t="n">
        <x:f>COUNT($G$7:$G$106)</x:f>
        <x:v>0</x:v>
      </x:c>
      <x:c r="R293" t="str">
        <x:f>IF(OR(P293="",$B$2="",$F$2="",P293&lt;$B$2,P293&gt;$F$2),"",IF(Q293=0,0,IF(P293&lt;$G$7,0,IF(P293&gt;=INDEX($G$7:$G$106,Q293),Q293,MATCH(P293,$G$7:$G$106,1)))))</x:f>
      </x:c>
      <x:c r="S293" t="str">
        <x:f>IF(R293="","",IF(R293=0,$B$2,INDEX($G$7:$G$106,R293)))</x:f>
      </x:c>
      <x:c r="T293" s="14" t="str">
        <x:f>IF(R293="","",IF(R293=0,0,INDEX($H$7:$H$106,R293)))</x:f>
      </x:c>
      <x:c r="U293" t="str">
        <x:f>IF(R293="","",IF(Q293=0,$F$2,IF(R293=0,$G$7,IF(R293&lt;Q293,INDEX($G$7:$G$106,R293+1),$F$2))))</x:f>
      </x:c>
      <x:c r="V293" s="14" t="str">
        <x:f>IF(R293="","",IF(Q293=0,$H$2,IF(R293=0,$H$7,IF(R293&lt;Q293,INDEX($H$7:$H$106,R293+1),$H$2))))</x:f>
      </x:c>
      <x:c r="W293" s="188" t="str">
        <x:f>IF(R293="","",IF(U293=S293,1,MAX(0,MIN(1,(P293-S293)/(U293-S293)))))</x:f>
      </x:c>
    </x:row>
    <x:row r="294">
      <x:c r="A294" s="159" t="str">
        <x:f>IF(OR(A293="",A293&gt;=$D$2),"",A293+1)</x:f>
      </x:c>
      <x:c r="B294" s="162" t="str">
        <x:f>IF(A294="","",IFERROR(SUMPRODUCT(--('Project Plan'!$A$7:$A$206&lt;&gt;""),('Project Plan'!$P$7:$P$206+('Project Plan'!$P$7:$P$206="")),--('Project Plan'!$F$7:$F$206&lt;&gt;""),--('Project Plan'!$G$7:$G$206&lt;&gt;""),((A294&gt;='Project Plan'!$G$7:$G$206)+((A294&gt;='Project Plan'!$F$7:$F$206)*(A294&lt;'Project Plan'!$G$7:$G$206)*(A294-'Project Plan'!$F$7:$F$206+1)/('Project Plan'!$G$7:$G$206-'Project Plan'!$F$7:$F$206+1))))/SUMPRODUCT(--('Project Plan'!$A$7:$A$206&lt;&gt;""),('Project Plan'!$P$7:$P$206+('Project Plan'!$P$7:$P$206=""))),0))</x:f>
      </x:c>
      <x:c r="C294" s="162" t="str">
        <x:f>IF(A294="","",IF(A294&gt;$F$2,"",IF(A294=$F$2,$H$2,IFERROR(LOOKUP(2,1/(($G$7:$G$106&lt;&gt;"")*($G$7:$G$106&lt;=A294)),$H$7:$H$106),""))))</x:f>
      </x:c>
      <x:c r="D294" s="162" t="str">
        <x:f>IF(C294="","",C294-B294)</x:f>
      </x:c>
      <x:c r="E294" s="163" t="str">
        <x:f>IF(D294="","",IF(D294&gt;=0,"On / Ahead",IF(D294&gt;=-0.05,"Watch","Behind")))</x:f>
      </x:c>
      <x:c r="J294"/>
      <x:c r="K294"/>
      <x:c r="L294"/>
      <x:c r="M294" t="str">
        <x:f>IF(A294="","",TEXT(A294,"mmm d"))</x:f>
      </x:c>
      <x:c r="N294" s="14" t="e">
        <x:f>IF(B294="",NA(),B294)</x:f>
        <x:v>#N/A</x:v>
      </x:c>
      <x:c r="O294" s="14" t="e">
        <x:f>IF(OR(P294="",$B$2="",$F$2="",P294&lt;$B$2,P294&gt;$F$2),NA(),IF(Q294=0,IF($F$2=$B$2,$H$2,MAX(0,MIN(1,$H$2*(3*MAX(0,MIN(1,(P294-$B$2)/($F$2-$B$2)))^2-2*MAX(0,MIN(1,(P294-$B$2)/($F$2-$B$2)))^3)))),MAX(0,MIN(1,T294+(V294-T294)*(3*W294^2-2*W294^3)))))</x:f>
        <x:v>#N/A</x:v>
      </x:c>
      <x:c r="P294" s="189" t="str">
        <x:f>A294</x:f>
      </x:c>
      <x:c r="Q294" t="n">
        <x:f>COUNT($G$7:$G$106)</x:f>
        <x:v>0</x:v>
      </x:c>
      <x:c r="R294" t="str">
        <x:f>IF(OR(P294="",$B$2="",$F$2="",P294&lt;$B$2,P294&gt;$F$2),"",IF(Q294=0,0,IF(P294&lt;$G$7,0,IF(P294&gt;=INDEX($G$7:$G$106,Q294),Q294,MATCH(P294,$G$7:$G$106,1)))))</x:f>
      </x:c>
      <x:c r="S294" t="str">
        <x:f>IF(R294="","",IF(R294=0,$B$2,INDEX($G$7:$G$106,R294)))</x:f>
      </x:c>
      <x:c r="T294" s="14" t="str">
        <x:f>IF(R294="","",IF(R294=0,0,INDEX($H$7:$H$106,R294)))</x:f>
      </x:c>
      <x:c r="U294" t="str">
        <x:f>IF(R294="","",IF(Q294=0,$F$2,IF(R294=0,$G$7,IF(R294&lt;Q294,INDEX($G$7:$G$106,R294+1),$F$2))))</x:f>
      </x:c>
      <x:c r="V294" s="14" t="str">
        <x:f>IF(R294="","",IF(Q294=0,$H$2,IF(R294=0,$H$7,IF(R294&lt;Q294,INDEX($H$7:$H$106,R294+1),$H$2))))</x:f>
      </x:c>
      <x:c r="W294" s="188" t="str">
        <x:f>IF(R294="","",IF(U294=S294,1,MAX(0,MIN(1,(P294-S294)/(U294-S294)))))</x:f>
      </x:c>
    </x:row>
    <x:row r="295">
      <x:c r="A295" s="159" t="str">
        <x:f>IF(OR(A294="",A294&gt;=$D$2),"",A294+1)</x:f>
      </x:c>
      <x:c r="B295" s="162" t="str">
        <x:f>IF(A295="","",IFERROR(SUMPRODUCT(--('Project Plan'!$A$7:$A$206&lt;&gt;""),('Project Plan'!$P$7:$P$206+('Project Plan'!$P$7:$P$206="")),--('Project Plan'!$F$7:$F$206&lt;&gt;""),--('Project Plan'!$G$7:$G$206&lt;&gt;""),((A295&gt;='Project Plan'!$G$7:$G$206)+((A295&gt;='Project Plan'!$F$7:$F$206)*(A295&lt;'Project Plan'!$G$7:$G$206)*(A295-'Project Plan'!$F$7:$F$206+1)/('Project Plan'!$G$7:$G$206-'Project Plan'!$F$7:$F$206+1))))/SUMPRODUCT(--('Project Plan'!$A$7:$A$206&lt;&gt;""),('Project Plan'!$P$7:$P$206+('Project Plan'!$P$7:$P$206=""))),0))</x:f>
      </x:c>
      <x:c r="C295" s="162" t="str">
        <x:f>IF(A295="","",IF(A295&gt;$F$2,"",IF(A295=$F$2,$H$2,IFERROR(LOOKUP(2,1/(($G$7:$G$106&lt;&gt;"")*($G$7:$G$106&lt;=A295)),$H$7:$H$106),""))))</x:f>
      </x:c>
      <x:c r="D295" s="162" t="str">
        <x:f>IF(C295="","",C295-B295)</x:f>
      </x:c>
      <x:c r="E295" s="163" t="str">
        <x:f>IF(D295="","",IF(D295&gt;=0,"On / Ahead",IF(D295&gt;=-0.05,"Watch","Behind")))</x:f>
      </x:c>
      <x:c r="J295"/>
      <x:c r="K295"/>
      <x:c r="L295"/>
      <x:c r="M295" t="str">
        <x:f>IF(A295="","",TEXT(A295,"mmm d"))</x:f>
      </x:c>
      <x:c r="N295" s="14" t="e">
        <x:f>IF(B295="",NA(),B295)</x:f>
        <x:v>#N/A</x:v>
      </x:c>
      <x:c r="O295" s="14" t="e">
        <x:f>IF(OR(P295="",$B$2="",$F$2="",P295&lt;$B$2,P295&gt;$F$2),NA(),IF(Q295=0,IF($F$2=$B$2,$H$2,MAX(0,MIN(1,$H$2*(3*MAX(0,MIN(1,(P295-$B$2)/($F$2-$B$2)))^2-2*MAX(0,MIN(1,(P295-$B$2)/($F$2-$B$2)))^3)))),MAX(0,MIN(1,T295+(V295-T295)*(3*W295^2-2*W295^3)))))</x:f>
        <x:v>#N/A</x:v>
      </x:c>
      <x:c r="P295" s="189" t="str">
        <x:f>A295</x:f>
      </x:c>
      <x:c r="Q295" t="n">
        <x:f>COUNT($G$7:$G$106)</x:f>
        <x:v>0</x:v>
      </x:c>
      <x:c r="R295" t="str">
        <x:f>IF(OR(P295="",$B$2="",$F$2="",P295&lt;$B$2,P295&gt;$F$2),"",IF(Q295=0,0,IF(P295&lt;$G$7,0,IF(P295&gt;=INDEX($G$7:$G$106,Q295),Q295,MATCH(P295,$G$7:$G$106,1)))))</x:f>
      </x:c>
      <x:c r="S295" t="str">
        <x:f>IF(R295="","",IF(R295=0,$B$2,INDEX($G$7:$G$106,R295)))</x:f>
      </x:c>
      <x:c r="T295" s="14" t="str">
        <x:f>IF(R295="","",IF(R295=0,0,INDEX($H$7:$H$106,R295)))</x:f>
      </x:c>
      <x:c r="U295" t="str">
        <x:f>IF(R295="","",IF(Q295=0,$F$2,IF(R295=0,$G$7,IF(R295&lt;Q295,INDEX($G$7:$G$106,R295+1),$F$2))))</x:f>
      </x:c>
      <x:c r="V295" s="14" t="str">
        <x:f>IF(R295="","",IF(Q295=0,$H$2,IF(R295=0,$H$7,IF(R295&lt;Q295,INDEX($H$7:$H$106,R295+1),$H$2))))</x:f>
      </x:c>
      <x:c r="W295" s="188" t="str">
        <x:f>IF(R295="","",IF(U295=S295,1,MAX(0,MIN(1,(P295-S295)/(U295-S295)))))</x:f>
      </x:c>
    </x:row>
    <x:row r="296">
      <x:c r="A296" s="159" t="str">
        <x:f>IF(OR(A295="",A295&gt;=$D$2),"",A295+1)</x:f>
      </x:c>
      <x:c r="B296" s="162" t="str">
        <x:f>IF(A296="","",IFERROR(SUMPRODUCT(--('Project Plan'!$A$7:$A$206&lt;&gt;""),('Project Plan'!$P$7:$P$206+('Project Plan'!$P$7:$P$206="")),--('Project Plan'!$F$7:$F$206&lt;&gt;""),--('Project Plan'!$G$7:$G$206&lt;&gt;""),((A296&gt;='Project Plan'!$G$7:$G$206)+((A296&gt;='Project Plan'!$F$7:$F$206)*(A296&lt;'Project Plan'!$G$7:$G$206)*(A296-'Project Plan'!$F$7:$F$206+1)/('Project Plan'!$G$7:$G$206-'Project Plan'!$F$7:$F$206+1))))/SUMPRODUCT(--('Project Plan'!$A$7:$A$206&lt;&gt;""),('Project Plan'!$P$7:$P$206+('Project Plan'!$P$7:$P$206=""))),0))</x:f>
      </x:c>
      <x:c r="C296" s="162" t="str">
        <x:f>IF(A296="","",IF(A296&gt;$F$2,"",IF(A296=$F$2,$H$2,IFERROR(LOOKUP(2,1/(($G$7:$G$106&lt;&gt;"")*($G$7:$G$106&lt;=A296)),$H$7:$H$106),""))))</x:f>
      </x:c>
      <x:c r="D296" s="162" t="str">
        <x:f>IF(C296="","",C296-B296)</x:f>
      </x:c>
      <x:c r="E296" s="163" t="str">
        <x:f>IF(D296="","",IF(D296&gt;=0,"On / Ahead",IF(D296&gt;=-0.05,"Watch","Behind")))</x:f>
      </x:c>
      <x:c r="J296"/>
      <x:c r="K296"/>
      <x:c r="L296"/>
      <x:c r="M296" t="str">
        <x:f>IF(A296="","",TEXT(A296,"mmm d"))</x:f>
      </x:c>
      <x:c r="N296" s="14" t="e">
        <x:f>IF(B296="",NA(),B296)</x:f>
        <x:v>#N/A</x:v>
      </x:c>
      <x:c r="O296" s="14" t="e">
        <x:f>IF(OR(P296="",$B$2="",$F$2="",P296&lt;$B$2,P296&gt;$F$2),NA(),IF(Q296=0,IF($F$2=$B$2,$H$2,MAX(0,MIN(1,$H$2*(3*MAX(0,MIN(1,(P296-$B$2)/($F$2-$B$2)))^2-2*MAX(0,MIN(1,(P296-$B$2)/($F$2-$B$2)))^3)))),MAX(0,MIN(1,T296+(V296-T296)*(3*W296^2-2*W296^3)))))</x:f>
        <x:v>#N/A</x:v>
      </x:c>
      <x:c r="P296" s="189" t="str">
        <x:f>A296</x:f>
      </x:c>
      <x:c r="Q296" t="n">
        <x:f>COUNT($G$7:$G$106)</x:f>
        <x:v>0</x:v>
      </x:c>
      <x:c r="R296" t="str">
        <x:f>IF(OR(P296="",$B$2="",$F$2="",P296&lt;$B$2,P296&gt;$F$2),"",IF(Q296=0,0,IF(P296&lt;$G$7,0,IF(P296&gt;=INDEX($G$7:$G$106,Q296),Q296,MATCH(P296,$G$7:$G$106,1)))))</x:f>
      </x:c>
      <x:c r="S296" t="str">
        <x:f>IF(R296="","",IF(R296=0,$B$2,INDEX($G$7:$G$106,R296)))</x:f>
      </x:c>
      <x:c r="T296" s="14" t="str">
        <x:f>IF(R296="","",IF(R296=0,0,INDEX($H$7:$H$106,R296)))</x:f>
      </x:c>
      <x:c r="U296" t="str">
        <x:f>IF(R296="","",IF(Q296=0,$F$2,IF(R296=0,$G$7,IF(R296&lt;Q296,INDEX($G$7:$G$106,R296+1),$F$2))))</x:f>
      </x:c>
      <x:c r="V296" s="14" t="str">
        <x:f>IF(R296="","",IF(Q296=0,$H$2,IF(R296=0,$H$7,IF(R296&lt;Q296,INDEX($H$7:$H$106,R296+1),$H$2))))</x:f>
      </x:c>
      <x:c r="W296" s="188" t="str">
        <x:f>IF(R296="","",IF(U296=S296,1,MAX(0,MIN(1,(P296-S296)/(U296-S296)))))</x:f>
      </x:c>
    </x:row>
    <x:row r="297">
      <x:c r="A297" s="159" t="str">
        <x:f>IF(OR(A296="",A296&gt;=$D$2),"",A296+1)</x:f>
      </x:c>
      <x:c r="B297" s="162" t="str">
        <x:f>IF(A297="","",IFERROR(SUMPRODUCT(--('Project Plan'!$A$7:$A$206&lt;&gt;""),('Project Plan'!$P$7:$P$206+('Project Plan'!$P$7:$P$206="")),--('Project Plan'!$F$7:$F$206&lt;&gt;""),--('Project Plan'!$G$7:$G$206&lt;&gt;""),((A297&gt;='Project Plan'!$G$7:$G$206)+((A297&gt;='Project Plan'!$F$7:$F$206)*(A297&lt;'Project Plan'!$G$7:$G$206)*(A297-'Project Plan'!$F$7:$F$206+1)/('Project Plan'!$G$7:$G$206-'Project Plan'!$F$7:$F$206+1))))/SUMPRODUCT(--('Project Plan'!$A$7:$A$206&lt;&gt;""),('Project Plan'!$P$7:$P$206+('Project Plan'!$P$7:$P$206=""))),0))</x:f>
      </x:c>
      <x:c r="C297" s="162" t="str">
        <x:f>IF(A297="","",IF(A297&gt;$F$2,"",IF(A297=$F$2,$H$2,IFERROR(LOOKUP(2,1/(($G$7:$G$106&lt;&gt;"")*($G$7:$G$106&lt;=A297)),$H$7:$H$106),""))))</x:f>
      </x:c>
      <x:c r="D297" s="162" t="str">
        <x:f>IF(C297="","",C297-B297)</x:f>
      </x:c>
      <x:c r="E297" s="163" t="str">
        <x:f>IF(D297="","",IF(D297&gt;=0,"On / Ahead",IF(D297&gt;=-0.05,"Watch","Behind")))</x:f>
      </x:c>
      <x:c r="J297"/>
      <x:c r="K297"/>
      <x:c r="L297"/>
      <x:c r="M297" t="str">
        <x:f>IF(A297="","",TEXT(A297,"mmm d"))</x:f>
      </x:c>
      <x:c r="N297" s="14" t="e">
        <x:f>IF(B297="",NA(),B297)</x:f>
        <x:v>#N/A</x:v>
      </x:c>
      <x:c r="O297" s="14" t="e">
        <x:f>IF(OR(P297="",$B$2="",$F$2="",P297&lt;$B$2,P297&gt;$F$2),NA(),IF(Q297=0,IF($F$2=$B$2,$H$2,MAX(0,MIN(1,$H$2*(3*MAX(0,MIN(1,(P297-$B$2)/($F$2-$B$2)))^2-2*MAX(0,MIN(1,(P297-$B$2)/($F$2-$B$2)))^3)))),MAX(0,MIN(1,T297+(V297-T297)*(3*W297^2-2*W297^3)))))</x:f>
        <x:v>#N/A</x:v>
      </x:c>
      <x:c r="P297" s="189" t="str">
        <x:f>A297</x:f>
      </x:c>
      <x:c r="Q297" t="n">
        <x:f>COUNT($G$7:$G$106)</x:f>
        <x:v>0</x:v>
      </x:c>
      <x:c r="R297" t="str">
        <x:f>IF(OR(P297="",$B$2="",$F$2="",P297&lt;$B$2,P297&gt;$F$2),"",IF(Q297=0,0,IF(P297&lt;$G$7,0,IF(P297&gt;=INDEX($G$7:$G$106,Q297),Q297,MATCH(P297,$G$7:$G$106,1)))))</x:f>
      </x:c>
      <x:c r="S297" t="str">
        <x:f>IF(R297="","",IF(R297=0,$B$2,INDEX($G$7:$G$106,R297)))</x:f>
      </x:c>
      <x:c r="T297" s="14" t="str">
        <x:f>IF(R297="","",IF(R297=0,0,INDEX($H$7:$H$106,R297)))</x:f>
      </x:c>
      <x:c r="U297" t="str">
        <x:f>IF(R297="","",IF(Q297=0,$F$2,IF(R297=0,$G$7,IF(R297&lt;Q297,INDEX($G$7:$G$106,R297+1),$F$2))))</x:f>
      </x:c>
      <x:c r="V297" s="14" t="str">
        <x:f>IF(R297="","",IF(Q297=0,$H$2,IF(R297=0,$H$7,IF(R297&lt;Q297,INDEX($H$7:$H$106,R297+1),$H$2))))</x:f>
      </x:c>
      <x:c r="W297" s="188" t="str">
        <x:f>IF(R297="","",IF(U297=S297,1,MAX(0,MIN(1,(P297-S297)/(U297-S297)))))</x:f>
      </x:c>
    </x:row>
    <x:row r="298">
      <x:c r="A298" s="159" t="str">
        <x:f>IF(OR(A297="",A297&gt;=$D$2),"",A297+1)</x:f>
      </x:c>
      <x:c r="B298" s="162" t="str">
        <x:f>IF(A298="","",IFERROR(SUMPRODUCT(--('Project Plan'!$A$7:$A$206&lt;&gt;""),('Project Plan'!$P$7:$P$206+('Project Plan'!$P$7:$P$206="")),--('Project Plan'!$F$7:$F$206&lt;&gt;""),--('Project Plan'!$G$7:$G$206&lt;&gt;""),((A298&gt;='Project Plan'!$G$7:$G$206)+((A298&gt;='Project Plan'!$F$7:$F$206)*(A298&lt;'Project Plan'!$G$7:$G$206)*(A298-'Project Plan'!$F$7:$F$206+1)/('Project Plan'!$G$7:$G$206-'Project Plan'!$F$7:$F$206+1))))/SUMPRODUCT(--('Project Plan'!$A$7:$A$206&lt;&gt;""),('Project Plan'!$P$7:$P$206+('Project Plan'!$P$7:$P$206=""))),0))</x:f>
      </x:c>
      <x:c r="C298" s="162" t="str">
        <x:f>IF(A298="","",IF(A298&gt;$F$2,"",IF(A298=$F$2,$H$2,IFERROR(LOOKUP(2,1/(($G$7:$G$106&lt;&gt;"")*($G$7:$G$106&lt;=A298)),$H$7:$H$106),""))))</x:f>
      </x:c>
      <x:c r="D298" s="162" t="str">
        <x:f>IF(C298="","",C298-B298)</x:f>
      </x:c>
      <x:c r="E298" s="163" t="str">
        <x:f>IF(D298="","",IF(D298&gt;=0,"On / Ahead",IF(D298&gt;=-0.05,"Watch","Behind")))</x:f>
      </x:c>
      <x:c r="J298"/>
      <x:c r="K298"/>
      <x:c r="L298"/>
      <x:c r="M298" t="str">
        <x:f>IF(A298="","",TEXT(A298,"mmm d"))</x:f>
      </x:c>
      <x:c r="N298" s="14" t="e">
        <x:f>IF(B298="",NA(),B298)</x:f>
        <x:v>#N/A</x:v>
      </x:c>
      <x:c r="O298" s="14" t="e">
        <x:f>IF(OR(P298="",$B$2="",$F$2="",P298&lt;$B$2,P298&gt;$F$2),NA(),IF(Q298=0,IF($F$2=$B$2,$H$2,MAX(0,MIN(1,$H$2*(3*MAX(0,MIN(1,(P298-$B$2)/($F$2-$B$2)))^2-2*MAX(0,MIN(1,(P298-$B$2)/($F$2-$B$2)))^3)))),MAX(0,MIN(1,T298+(V298-T298)*(3*W298^2-2*W298^3)))))</x:f>
        <x:v>#N/A</x:v>
      </x:c>
      <x:c r="P298" s="189" t="str">
        <x:f>A298</x:f>
      </x:c>
      <x:c r="Q298" t="n">
        <x:f>COUNT($G$7:$G$106)</x:f>
        <x:v>0</x:v>
      </x:c>
      <x:c r="R298" t="str">
        <x:f>IF(OR(P298="",$B$2="",$F$2="",P298&lt;$B$2,P298&gt;$F$2),"",IF(Q298=0,0,IF(P298&lt;$G$7,0,IF(P298&gt;=INDEX($G$7:$G$106,Q298),Q298,MATCH(P298,$G$7:$G$106,1)))))</x:f>
      </x:c>
      <x:c r="S298" t="str">
        <x:f>IF(R298="","",IF(R298=0,$B$2,INDEX($G$7:$G$106,R298)))</x:f>
      </x:c>
      <x:c r="T298" s="14" t="str">
        <x:f>IF(R298="","",IF(R298=0,0,INDEX($H$7:$H$106,R298)))</x:f>
      </x:c>
      <x:c r="U298" t="str">
        <x:f>IF(R298="","",IF(Q298=0,$F$2,IF(R298=0,$G$7,IF(R298&lt;Q298,INDEX($G$7:$G$106,R298+1),$F$2))))</x:f>
      </x:c>
      <x:c r="V298" s="14" t="str">
        <x:f>IF(R298="","",IF(Q298=0,$H$2,IF(R298=0,$H$7,IF(R298&lt;Q298,INDEX($H$7:$H$106,R298+1),$H$2))))</x:f>
      </x:c>
      <x:c r="W298" s="188" t="str">
        <x:f>IF(R298="","",IF(U298=S298,1,MAX(0,MIN(1,(P298-S298)/(U298-S298)))))</x:f>
      </x:c>
    </x:row>
    <x:row r="299">
      <x:c r="A299" s="159" t="str">
        <x:f>IF(OR(A298="",A298&gt;=$D$2),"",A298+1)</x:f>
      </x:c>
      <x:c r="B299" s="162" t="str">
        <x:f>IF(A299="","",IFERROR(SUMPRODUCT(--('Project Plan'!$A$7:$A$206&lt;&gt;""),('Project Plan'!$P$7:$P$206+('Project Plan'!$P$7:$P$206="")),--('Project Plan'!$F$7:$F$206&lt;&gt;""),--('Project Plan'!$G$7:$G$206&lt;&gt;""),((A299&gt;='Project Plan'!$G$7:$G$206)+((A299&gt;='Project Plan'!$F$7:$F$206)*(A299&lt;'Project Plan'!$G$7:$G$206)*(A299-'Project Plan'!$F$7:$F$206+1)/('Project Plan'!$G$7:$G$206-'Project Plan'!$F$7:$F$206+1))))/SUMPRODUCT(--('Project Plan'!$A$7:$A$206&lt;&gt;""),('Project Plan'!$P$7:$P$206+('Project Plan'!$P$7:$P$206=""))),0))</x:f>
      </x:c>
      <x:c r="C299" s="162" t="str">
        <x:f>IF(A299="","",IF(A299&gt;$F$2,"",IF(A299=$F$2,$H$2,IFERROR(LOOKUP(2,1/(($G$7:$G$106&lt;&gt;"")*($G$7:$G$106&lt;=A299)),$H$7:$H$106),""))))</x:f>
      </x:c>
      <x:c r="D299" s="162" t="str">
        <x:f>IF(C299="","",C299-B299)</x:f>
      </x:c>
      <x:c r="E299" s="163" t="str">
        <x:f>IF(D299="","",IF(D299&gt;=0,"On / Ahead",IF(D299&gt;=-0.05,"Watch","Behind")))</x:f>
      </x:c>
      <x:c r="J299"/>
      <x:c r="K299"/>
      <x:c r="L299"/>
      <x:c r="M299" t="str">
        <x:f>IF(A299="","",TEXT(A299,"mmm d"))</x:f>
      </x:c>
      <x:c r="N299" s="14" t="e">
        <x:f>IF(B299="",NA(),B299)</x:f>
        <x:v>#N/A</x:v>
      </x:c>
      <x:c r="O299" s="14" t="e">
        <x:f>IF(OR(P299="",$B$2="",$F$2="",P299&lt;$B$2,P299&gt;$F$2),NA(),IF(Q299=0,IF($F$2=$B$2,$H$2,MAX(0,MIN(1,$H$2*(3*MAX(0,MIN(1,(P299-$B$2)/($F$2-$B$2)))^2-2*MAX(0,MIN(1,(P299-$B$2)/($F$2-$B$2)))^3)))),MAX(0,MIN(1,T299+(V299-T299)*(3*W299^2-2*W299^3)))))</x:f>
        <x:v>#N/A</x:v>
      </x:c>
      <x:c r="P299" s="189" t="str">
        <x:f>A299</x:f>
      </x:c>
      <x:c r="Q299" t="n">
        <x:f>COUNT($G$7:$G$106)</x:f>
        <x:v>0</x:v>
      </x:c>
      <x:c r="R299" t="str">
        <x:f>IF(OR(P299="",$B$2="",$F$2="",P299&lt;$B$2,P299&gt;$F$2),"",IF(Q299=0,0,IF(P299&lt;$G$7,0,IF(P299&gt;=INDEX($G$7:$G$106,Q299),Q299,MATCH(P299,$G$7:$G$106,1)))))</x:f>
      </x:c>
      <x:c r="S299" t="str">
        <x:f>IF(R299="","",IF(R299=0,$B$2,INDEX($G$7:$G$106,R299)))</x:f>
      </x:c>
      <x:c r="T299" s="14" t="str">
        <x:f>IF(R299="","",IF(R299=0,0,INDEX($H$7:$H$106,R299)))</x:f>
      </x:c>
      <x:c r="U299" t="str">
        <x:f>IF(R299="","",IF(Q299=0,$F$2,IF(R299=0,$G$7,IF(R299&lt;Q299,INDEX($G$7:$G$106,R299+1),$F$2))))</x:f>
      </x:c>
      <x:c r="V299" s="14" t="str">
        <x:f>IF(R299="","",IF(Q299=0,$H$2,IF(R299=0,$H$7,IF(R299&lt;Q299,INDEX($H$7:$H$106,R299+1),$H$2))))</x:f>
      </x:c>
      <x:c r="W299" s="188" t="str">
        <x:f>IF(R299="","",IF(U299=S299,1,MAX(0,MIN(1,(P299-S299)/(U299-S299)))))</x:f>
      </x:c>
    </x:row>
    <x:row r="300">
      <x:c r="A300" s="159" t="str">
        <x:f>IF(OR(A299="",A299&gt;=$D$2),"",A299+1)</x:f>
      </x:c>
      <x:c r="B300" s="162" t="str">
        <x:f>IF(A300="","",IFERROR(SUMPRODUCT(--('Project Plan'!$A$7:$A$206&lt;&gt;""),('Project Plan'!$P$7:$P$206+('Project Plan'!$P$7:$P$206="")),--('Project Plan'!$F$7:$F$206&lt;&gt;""),--('Project Plan'!$G$7:$G$206&lt;&gt;""),((A300&gt;='Project Plan'!$G$7:$G$206)+((A300&gt;='Project Plan'!$F$7:$F$206)*(A300&lt;'Project Plan'!$G$7:$G$206)*(A300-'Project Plan'!$F$7:$F$206+1)/('Project Plan'!$G$7:$G$206-'Project Plan'!$F$7:$F$206+1))))/SUMPRODUCT(--('Project Plan'!$A$7:$A$206&lt;&gt;""),('Project Plan'!$P$7:$P$206+('Project Plan'!$P$7:$P$206=""))),0))</x:f>
      </x:c>
      <x:c r="C300" s="162" t="str">
        <x:f>IF(A300="","",IF(A300&gt;$F$2,"",IF(A300=$F$2,$H$2,IFERROR(LOOKUP(2,1/(($G$7:$G$106&lt;&gt;"")*($G$7:$G$106&lt;=A300)),$H$7:$H$106),""))))</x:f>
      </x:c>
      <x:c r="D300" s="162" t="str">
        <x:f>IF(C300="","",C300-B300)</x:f>
      </x:c>
      <x:c r="E300" s="163" t="str">
        <x:f>IF(D300="","",IF(D300&gt;=0,"On / Ahead",IF(D300&gt;=-0.05,"Watch","Behind")))</x:f>
      </x:c>
      <x:c r="J300"/>
      <x:c r="K300"/>
      <x:c r="L300"/>
      <x:c r="M300" t="str">
        <x:f>IF(A300="","",TEXT(A300,"mmm d"))</x:f>
      </x:c>
      <x:c r="N300" s="14" t="e">
        <x:f>IF(B300="",NA(),B300)</x:f>
        <x:v>#N/A</x:v>
      </x:c>
      <x:c r="O300" s="14" t="e">
        <x:f>IF(OR(P300="",$B$2="",$F$2="",P300&lt;$B$2,P300&gt;$F$2),NA(),IF(Q300=0,IF($F$2=$B$2,$H$2,MAX(0,MIN(1,$H$2*(3*MAX(0,MIN(1,(P300-$B$2)/($F$2-$B$2)))^2-2*MAX(0,MIN(1,(P300-$B$2)/($F$2-$B$2)))^3)))),MAX(0,MIN(1,T300+(V300-T300)*(3*W300^2-2*W300^3)))))</x:f>
        <x:v>#N/A</x:v>
      </x:c>
      <x:c r="P300" s="189" t="str">
        <x:f>A300</x:f>
      </x:c>
      <x:c r="Q300" t="n">
        <x:f>COUNT($G$7:$G$106)</x:f>
        <x:v>0</x:v>
      </x:c>
      <x:c r="R300" t="str">
        <x:f>IF(OR(P300="",$B$2="",$F$2="",P300&lt;$B$2,P300&gt;$F$2),"",IF(Q300=0,0,IF(P300&lt;$G$7,0,IF(P300&gt;=INDEX($G$7:$G$106,Q300),Q300,MATCH(P300,$G$7:$G$106,1)))))</x:f>
      </x:c>
      <x:c r="S300" t="str">
        <x:f>IF(R300="","",IF(R300=0,$B$2,INDEX($G$7:$G$106,R300)))</x:f>
      </x:c>
      <x:c r="T300" s="14" t="str">
        <x:f>IF(R300="","",IF(R300=0,0,INDEX($H$7:$H$106,R300)))</x:f>
      </x:c>
      <x:c r="U300" t="str">
        <x:f>IF(R300="","",IF(Q300=0,$F$2,IF(R300=0,$G$7,IF(R300&lt;Q300,INDEX($G$7:$G$106,R300+1),$F$2))))</x:f>
      </x:c>
      <x:c r="V300" s="14" t="str">
        <x:f>IF(R300="","",IF(Q300=0,$H$2,IF(R300=0,$H$7,IF(R300&lt;Q300,INDEX($H$7:$H$106,R300+1),$H$2))))</x:f>
      </x:c>
      <x:c r="W300" s="188" t="str">
        <x:f>IF(R300="","",IF(U300=S300,1,MAX(0,MIN(1,(P300-S300)/(U300-S300)))))</x:f>
      </x:c>
    </x:row>
    <x:row r="301">
      <x:c r="A301" s="159" t="str">
        <x:f>IF(OR(A300="",A300&gt;=$D$2),"",A300+1)</x:f>
      </x:c>
      <x:c r="B301" s="162" t="str">
        <x:f>IF(A301="","",IFERROR(SUMPRODUCT(--('Project Plan'!$A$7:$A$206&lt;&gt;""),('Project Plan'!$P$7:$P$206+('Project Plan'!$P$7:$P$206="")),--('Project Plan'!$F$7:$F$206&lt;&gt;""),--('Project Plan'!$G$7:$G$206&lt;&gt;""),((A301&gt;='Project Plan'!$G$7:$G$206)+((A301&gt;='Project Plan'!$F$7:$F$206)*(A301&lt;'Project Plan'!$G$7:$G$206)*(A301-'Project Plan'!$F$7:$F$206+1)/('Project Plan'!$G$7:$G$206-'Project Plan'!$F$7:$F$206+1))))/SUMPRODUCT(--('Project Plan'!$A$7:$A$206&lt;&gt;""),('Project Plan'!$P$7:$P$206+('Project Plan'!$P$7:$P$206=""))),0))</x:f>
      </x:c>
      <x:c r="C301" s="162" t="str">
        <x:f>IF(A301="","",IF(A301&gt;$F$2,"",IF(A301=$F$2,$H$2,IFERROR(LOOKUP(2,1/(($G$7:$G$106&lt;&gt;"")*($G$7:$G$106&lt;=A301)),$H$7:$H$106),""))))</x:f>
      </x:c>
      <x:c r="D301" s="162" t="str">
        <x:f>IF(C301="","",C301-B301)</x:f>
      </x:c>
      <x:c r="E301" s="163" t="str">
        <x:f>IF(D301="","",IF(D301&gt;=0,"On / Ahead",IF(D301&gt;=-0.05,"Watch","Behind")))</x:f>
      </x:c>
      <x:c r="J301"/>
      <x:c r="K301"/>
      <x:c r="L301"/>
      <x:c r="M301" t="str">
        <x:f>IF(A301="","",TEXT(A301,"mmm d"))</x:f>
      </x:c>
      <x:c r="N301" s="14" t="e">
        <x:f>IF(B301="",NA(),B301)</x:f>
        <x:v>#N/A</x:v>
      </x:c>
      <x:c r="O301" s="14" t="e">
        <x:f>IF(OR(P301="",$B$2="",$F$2="",P301&lt;$B$2,P301&gt;$F$2),NA(),IF(Q301=0,IF($F$2=$B$2,$H$2,MAX(0,MIN(1,$H$2*(3*MAX(0,MIN(1,(P301-$B$2)/($F$2-$B$2)))^2-2*MAX(0,MIN(1,(P301-$B$2)/($F$2-$B$2)))^3)))),MAX(0,MIN(1,T301+(V301-T301)*(3*W301^2-2*W301^3)))))</x:f>
        <x:v>#N/A</x:v>
      </x:c>
      <x:c r="P301" s="189" t="str">
        <x:f>A301</x:f>
      </x:c>
      <x:c r="Q301" t="n">
        <x:f>COUNT($G$7:$G$106)</x:f>
        <x:v>0</x:v>
      </x:c>
      <x:c r="R301" t="str">
        <x:f>IF(OR(P301="",$B$2="",$F$2="",P301&lt;$B$2,P301&gt;$F$2),"",IF(Q301=0,0,IF(P301&lt;$G$7,0,IF(P301&gt;=INDEX($G$7:$G$106,Q301),Q301,MATCH(P301,$G$7:$G$106,1)))))</x:f>
      </x:c>
      <x:c r="S301" t="str">
        <x:f>IF(R301="","",IF(R301=0,$B$2,INDEX($G$7:$G$106,R301)))</x:f>
      </x:c>
      <x:c r="T301" s="14" t="str">
        <x:f>IF(R301="","",IF(R301=0,0,INDEX($H$7:$H$106,R301)))</x:f>
      </x:c>
      <x:c r="U301" t="str">
        <x:f>IF(R301="","",IF(Q301=0,$F$2,IF(R301=0,$G$7,IF(R301&lt;Q301,INDEX($G$7:$G$106,R301+1),$F$2))))</x:f>
      </x:c>
      <x:c r="V301" s="14" t="str">
        <x:f>IF(R301="","",IF(Q301=0,$H$2,IF(R301=0,$H$7,IF(R301&lt;Q301,INDEX($H$7:$H$106,R301+1),$H$2))))</x:f>
      </x:c>
      <x:c r="W301" s="188" t="str">
        <x:f>IF(R301="","",IF(U301=S301,1,MAX(0,MIN(1,(P301-S301)/(U301-S301)))))</x:f>
      </x:c>
    </x:row>
    <x:row r="302">
      <x:c r="A302" s="159" t="str">
        <x:f>IF(OR(A301="",A301&gt;=$D$2),"",A301+1)</x:f>
      </x:c>
      <x:c r="B302" s="162" t="str">
        <x:f>IF(A302="","",IFERROR(SUMPRODUCT(--('Project Plan'!$A$7:$A$206&lt;&gt;""),('Project Plan'!$P$7:$P$206+('Project Plan'!$P$7:$P$206="")),--('Project Plan'!$F$7:$F$206&lt;&gt;""),--('Project Plan'!$G$7:$G$206&lt;&gt;""),((A302&gt;='Project Plan'!$G$7:$G$206)+((A302&gt;='Project Plan'!$F$7:$F$206)*(A302&lt;'Project Plan'!$G$7:$G$206)*(A302-'Project Plan'!$F$7:$F$206+1)/('Project Plan'!$G$7:$G$206-'Project Plan'!$F$7:$F$206+1))))/SUMPRODUCT(--('Project Plan'!$A$7:$A$206&lt;&gt;""),('Project Plan'!$P$7:$P$206+('Project Plan'!$P$7:$P$206=""))),0))</x:f>
      </x:c>
      <x:c r="C302" s="162" t="str">
        <x:f>IF(A302="","",IF(A302&gt;$F$2,"",IF(A302=$F$2,$H$2,IFERROR(LOOKUP(2,1/(($G$7:$G$106&lt;&gt;"")*($G$7:$G$106&lt;=A302)),$H$7:$H$106),""))))</x:f>
      </x:c>
      <x:c r="D302" s="162" t="str">
        <x:f>IF(C302="","",C302-B302)</x:f>
      </x:c>
      <x:c r="E302" s="163" t="str">
        <x:f>IF(D302="","",IF(D302&gt;=0,"On / Ahead",IF(D302&gt;=-0.05,"Watch","Behind")))</x:f>
      </x:c>
      <x:c r="J302"/>
      <x:c r="K302"/>
      <x:c r="L302"/>
      <x:c r="M302" t="str">
        <x:f>IF(A302="","",TEXT(A302,"mmm d"))</x:f>
      </x:c>
      <x:c r="N302" s="14" t="e">
        <x:f>IF(B302="",NA(),B302)</x:f>
        <x:v>#N/A</x:v>
      </x:c>
      <x:c r="O302" s="14" t="e">
        <x:f>IF(OR(P302="",$B$2="",$F$2="",P302&lt;$B$2,P302&gt;$F$2),NA(),IF(Q302=0,IF($F$2=$B$2,$H$2,MAX(0,MIN(1,$H$2*(3*MAX(0,MIN(1,(P302-$B$2)/($F$2-$B$2)))^2-2*MAX(0,MIN(1,(P302-$B$2)/($F$2-$B$2)))^3)))),MAX(0,MIN(1,T302+(V302-T302)*(3*W302^2-2*W302^3)))))</x:f>
        <x:v>#N/A</x:v>
      </x:c>
      <x:c r="P302" s="189" t="str">
        <x:f>A302</x:f>
      </x:c>
      <x:c r="Q302" t="n">
        <x:f>COUNT($G$7:$G$106)</x:f>
        <x:v>0</x:v>
      </x:c>
      <x:c r="R302" t="str">
        <x:f>IF(OR(P302="",$B$2="",$F$2="",P302&lt;$B$2,P302&gt;$F$2),"",IF(Q302=0,0,IF(P302&lt;$G$7,0,IF(P302&gt;=INDEX($G$7:$G$106,Q302),Q302,MATCH(P302,$G$7:$G$106,1)))))</x:f>
      </x:c>
      <x:c r="S302" t="str">
        <x:f>IF(R302="","",IF(R302=0,$B$2,INDEX($G$7:$G$106,R302)))</x:f>
      </x:c>
      <x:c r="T302" s="14" t="str">
        <x:f>IF(R302="","",IF(R302=0,0,INDEX($H$7:$H$106,R302)))</x:f>
      </x:c>
      <x:c r="U302" t="str">
        <x:f>IF(R302="","",IF(Q302=0,$F$2,IF(R302=0,$G$7,IF(R302&lt;Q302,INDEX($G$7:$G$106,R302+1),$F$2))))</x:f>
      </x:c>
      <x:c r="V302" s="14" t="str">
        <x:f>IF(R302="","",IF(Q302=0,$H$2,IF(R302=0,$H$7,IF(R302&lt;Q302,INDEX($H$7:$H$106,R302+1),$H$2))))</x:f>
      </x:c>
      <x:c r="W302" s="188" t="str">
        <x:f>IF(R302="","",IF(U302=S302,1,MAX(0,MIN(1,(P302-S302)/(U302-S302)))))</x:f>
      </x:c>
    </x:row>
    <x:row r="303">
      <x:c r="A303" s="159" t="str">
        <x:f>IF(OR(A302="",A302&gt;=$D$2),"",A302+1)</x:f>
      </x:c>
      <x:c r="B303" s="162" t="str">
        <x:f>IF(A303="","",IFERROR(SUMPRODUCT(--('Project Plan'!$A$7:$A$206&lt;&gt;""),('Project Plan'!$P$7:$P$206+('Project Plan'!$P$7:$P$206="")),--('Project Plan'!$F$7:$F$206&lt;&gt;""),--('Project Plan'!$G$7:$G$206&lt;&gt;""),((A303&gt;='Project Plan'!$G$7:$G$206)+((A303&gt;='Project Plan'!$F$7:$F$206)*(A303&lt;'Project Plan'!$G$7:$G$206)*(A303-'Project Plan'!$F$7:$F$206+1)/('Project Plan'!$G$7:$G$206-'Project Plan'!$F$7:$F$206+1))))/SUMPRODUCT(--('Project Plan'!$A$7:$A$206&lt;&gt;""),('Project Plan'!$P$7:$P$206+('Project Plan'!$P$7:$P$206=""))),0))</x:f>
      </x:c>
      <x:c r="C303" s="162" t="str">
        <x:f>IF(A303="","",IF(A303&gt;$F$2,"",IF(A303=$F$2,$H$2,IFERROR(LOOKUP(2,1/(($G$7:$G$106&lt;&gt;"")*($G$7:$G$106&lt;=A303)),$H$7:$H$106),""))))</x:f>
      </x:c>
      <x:c r="D303" s="162" t="str">
        <x:f>IF(C303="","",C303-B303)</x:f>
      </x:c>
      <x:c r="E303" s="163" t="str">
        <x:f>IF(D303="","",IF(D303&gt;=0,"On / Ahead",IF(D303&gt;=-0.05,"Watch","Behind")))</x:f>
      </x:c>
      <x:c r="J303"/>
      <x:c r="K303"/>
      <x:c r="L303"/>
      <x:c r="M303" t="str">
        <x:f>IF(A303="","",TEXT(A303,"mmm d"))</x:f>
      </x:c>
      <x:c r="N303" s="14" t="e">
        <x:f>IF(B303="",NA(),B303)</x:f>
        <x:v>#N/A</x:v>
      </x:c>
      <x:c r="O303" s="14" t="e">
        <x:f>IF(OR(P303="",$B$2="",$F$2="",P303&lt;$B$2,P303&gt;$F$2),NA(),IF(Q303=0,IF($F$2=$B$2,$H$2,MAX(0,MIN(1,$H$2*(3*MAX(0,MIN(1,(P303-$B$2)/($F$2-$B$2)))^2-2*MAX(0,MIN(1,(P303-$B$2)/($F$2-$B$2)))^3)))),MAX(0,MIN(1,T303+(V303-T303)*(3*W303^2-2*W303^3)))))</x:f>
        <x:v>#N/A</x:v>
      </x:c>
      <x:c r="P303" s="189" t="str">
        <x:f>A303</x:f>
      </x:c>
      <x:c r="Q303" t="n">
        <x:f>COUNT($G$7:$G$106)</x:f>
        <x:v>0</x:v>
      </x:c>
      <x:c r="R303" t="str">
        <x:f>IF(OR(P303="",$B$2="",$F$2="",P303&lt;$B$2,P303&gt;$F$2),"",IF(Q303=0,0,IF(P303&lt;$G$7,0,IF(P303&gt;=INDEX($G$7:$G$106,Q303),Q303,MATCH(P303,$G$7:$G$106,1)))))</x:f>
      </x:c>
      <x:c r="S303" t="str">
        <x:f>IF(R303="","",IF(R303=0,$B$2,INDEX($G$7:$G$106,R303)))</x:f>
      </x:c>
      <x:c r="T303" s="14" t="str">
        <x:f>IF(R303="","",IF(R303=0,0,INDEX($H$7:$H$106,R303)))</x:f>
      </x:c>
      <x:c r="U303" t="str">
        <x:f>IF(R303="","",IF(Q303=0,$F$2,IF(R303=0,$G$7,IF(R303&lt;Q303,INDEX($G$7:$G$106,R303+1),$F$2))))</x:f>
      </x:c>
      <x:c r="V303" s="14" t="str">
        <x:f>IF(R303="","",IF(Q303=0,$H$2,IF(R303=0,$H$7,IF(R303&lt;Q303,INDEX($H$7:$H$106,R303+1),$H$2))))</x:f>
      </x:c>
      <x:c r="W303" s="188" t="str">
        <x:f>IF(R303="","",IF(U303=S303,1,MAX(0,MIN(1,(P303-S303)/(U303-S303)))))</x:f>
      </x:c>
    </x:row>
    <x:row r="304">
      <x:c r="A304" s="159" t="str">
        <x:f>IF(OR(A303="",A303&gt;=$D$2),"",A303+1)</x:f>
      </x:c>
      <x:c r="B304" s="162" t="str">
        <x:f>IF(A304="","",IFERROR(SUMPRODUCT(--('Project Plan'!$A$7:$A$206&lt;&gt;""),('Project Plan'!$P$7:$P$206+('Project Plan'!$P$7:$P$206="")),--('Project Plan'!$F$7:$F$206&lt;&gt;""),--('Project Plan'!$G$7:$G$206&lt;&gt;""),((A304&gt;='Project Plan'!$G$7:$G$206)+((A304&gt;='Project Plan'!$F$7:$F$206)*(A304&lt;'Project Plan'!$G$7:$G$206)*(A304-'Project Plan'!$F$7:$F$206+1)/('Project Plan'!$G$7:$G$206-'Project Plan'!$F$7:$F$206+1))))/SUMPRODUCT(--('Project Plan'!$A$7:$A$206&lt;&gt;""),('Project Plan'!$P$7:$P$206+('Project Plan'!$P$7:$P$206=""))),0))</x:f>
      </x:c>
      <x:c r="C304" s="162" t="str">
        <x:f>IF(A304="","",IF(A304&gt;$F$2,"",IF(A304=$F$2,$H$2,IFERROR(LOOKUP(2,1/(($G$7:$G$106&lt;&gt;"")*($G$7:$G$106&lt;=A304)),$H$7:$H$106),""))))</x:f>
      </x:c>
      <x:c r="D304" s="162" t="str">
        <x:f>IF(C304="","",C304-B304)</x:f>
      </x:c>
      <x:c r="E304" s="163" t="str">
        <x:f>IF(D304="","",IF(D304&gt;=0,"On / Ahead",IF(D304&gt;=-0.05,"Watch","Behind")))</x:f>
      </x:c>
      <x:c r="J304"/>
      <x:c r="K304"/>
      <x:c r="L304"/>
      <x:c r="M304" t="str">
        <x:f>IF(A304="","",TEXT(A304,"mmm d"))</x:f>
      </x:c>
      <x:c r="N304" s="14" t="e">
        <x:f>IF(B304="",NA(),B304)</x:f>
        <x:v>#N/A</x:v>
      </x:c>
      <x:c r="O304" s="14" t="e">
        <x:f>IF(OR(P304="",$B$2="",$F$2="",P304&lt;$B$2,P304&gt;$F$2),NA(),IF(Q304=0,IF($F$2=$B$2,$H$2,MAX(0,MIN(1,$H$2*(3*MAX(0,MIN(1,(P304-$B$2)/($F$2-$B$2)))^2-2*MAX(0,MIN(1,(P304-$B$2)/($F$2-$B$2)))^3)))),MAX(0,MIN(1,T304+(V304-T304)*(3*W304^2-2*W304^3)))))</x:f>
        <x:v>#N/A</x:v>
      </x:c>
      <x:c r="P304" s="189" t="str">
        <x:f>A304</x:f>
      </x:c>
      <x:c r="Q304" t="n">
        <x:f>COUNT($G$7:$G$106)</x:f>
        <x:v>0</x:v>
      </x:c>
      <x:c r="R304" t="str">
        <x:f>IF(OR(P304="",$B$2="",$F$2="",P304&lt;$B$2,P304&gt;$F$2),"",IF(Q304=0,0,IF(P304&lt;$G$7,0,IF(P304&gt;=INDEX($G$7:$G$106,Q304),Q304,MATCH(P304,$G$7:$G$106,1)))))</x:f>
      </x:c>
      <x:c r="S304" t="str">
        <x:f>IF(R304="","",IF(R304=0,$B$2,INDEX($G$7:$G$106,R304)))</x:f>
      </x:c>
      <x:c r="T304" s="14" t="str">
        <x:f>IF(R304="","",IF(R304=0,0,INDEX($H$7:$H$106,R304)))</x:f>
      </x:c>
      <x:c r="U304" t="str">
        <x:f>IF(R304="","",IF(Q304=0,$F$2,IF(R304=0,$G$7,IF(R304&lt;Q304,INDEX($G$7:$G$106,R304+1),$F$2))))</x:f>
      </x:c>
      <x:c r="V304" s="14" t="str">
        <x:f>IF(R304="","",IF(Q304=0,$H$2,IF(R304=0,$H$7,IF(R304&lt;Q304,INDEX($H$7:$H$106,R304+1),$H$2))))</x:f>
      </x:c>
      <x:c r="W304" s="188" t="str">
        <x:f>IF(R304="","",IF(U304=S304,1,MAX(0,MIN(1,(P304-S304)/(U304-S304)))))</x:f>
      </x:c>
    </x:row>
    <x:row r="305">
      <x:c r="A305" s="159" t="str">
        <x:f>IF(OR(A304="",A304&gt;=$D$2),"",A304+1)</x:f>
      </x:c>
      <x:c r="B305" s="162" t="str">
        <x:f>IF(A305="","",IFERROR(SUMPRODUCT(--('Project Plan'!$A$7:$A$206&lt;&gt;""),('Project Plan'!$P$7:$P$206+('Project Plan'!$P$7:$P$206="")),--('Project Plan'!$F$7:$F$206&lt;&gt;""),--('Project Plan'!$G$7:$G$206&lt;&gt;""),((A305&gt;='Project Plan'!$G$7:$G$206)+((A305&gt;='Project Plan'!$F$7:$F$206)*(A305&lt;'Project Plan'!$G$7:$G$206)*(A305-'Project Plan'!$F$7:$F$206+1)/('Project Plan'!$G$7:$G$206-'Project Plan'!$F$7:$F$206+1))))/SUMPRODUCT(--('Project Plan'!$A$7:$A$206&lt;&gt;""),('Project Plan'!$P$7:$P$206+('Project Plan'!$P$7:$P$206=""))),0))</x:f>
      </x:c>
      <x:c r="C305" s="162" t="str">
        <x:f>IF(A305="","",IF(A305&gt;$F$2,"",IF(A305=$F$2,$H$2,IFERROR(LOOKUP(2,1/(($G$7:$G$106&lt;&gt;"")*($G$7:$G$106&lt;=A305)),$H$7:$H$106),""))))</x:f>
      </x:c>
      <x:c r="D305" s="162" t="str">
        <x:f>IF(C305="","",C305-B305)</x:f>
      </x:c>
      <x:c r="E305" s="163" t="str">
        <x:f>IF(D305="","",IF(D305&gt;=0,"On / Ahead",IF(D305&gt;=-0.05,"Watch","Behind")))</x:f>
      </x:c>
      <x:c r="J305"/>
      <x:c r="K305"/>
      <x:c r="L305"/>
      <x:c r="M305" t="str">
        <x:f>IF(A305="","",TEXT(A305,"mmm d"))</x:f>
      </x:c>
      <x:c r="N305" s="14" t="e">
        <x:f>IF(B305="",NA(),B305)</x:f>
        <x:v>#N/A</x:v>
      </x:c>
      <x:c r="O305" s="14" t="e">
        <x:f>IF(OR(P305="",$B$2="",$F$2="",P305&lt;$B$2,P305&gt;$F$2),NA(),IF(Q305=0,IF($F$2=$B$2,$H$2,MAX(0,MIN(1,$H$2*(3*MAX(0,MIN(1,(P305-$B$2)/($F$2-$B$2)))^2-2*MAX(0,MIN(1,(P305-$B$2)/($F$2-$B$2)))^3)))),MAX(0,MIN(1,T305+(V305-T305)*(3*W305^2-2*W305^3)))))</x:f>
        <x:v>#N/A</x:v>
      </x:c>
      <x:c r="P305" s="189" t="str">
        <x:f>A305</x:f>
      </x:c>
      <x:c r="Q305" t="n">
        <x:f>COUNT($G$7:$G$106)</x:f>
        <x:v>0</x:v>
      </x:c>
      <x:c r="R305" t="str">
        <x:f>IF(OR(P305="",$B$2="",$F$2="",P305&lt;$B$2,P305&gt;$F$2),"",IF(Q305=0,0,IF(P305&lt;$G$7,0,IF(P305&gt;=INDEX($G$7:$G$106,Q305),Q305,MATCH(P305,$G$7:$G$106,1)))))</x:f>
      </x:c>
      <x:c r="S305" t="str">
        <x:f>IF(R305="","",IF(R305=0,$B$2,INDEX($G$7:$G$106,R305)))</x:f>
      </x:c>
      <x:c r="T305" s="14" t="str">
        <x:f>IF(R305="","",IF(R305=0,0,INDEX($H$7:$H$106,R305)))</x:f>
      </x:c>
      <x:c r="U305" t="str">
        <x:f>IF(R305="","",IF(Q305=0,$F$2,IF(R305=0,$G$7,IF(R305&lt;Q305,INDEX($G$7:$G$106,R305+1),$F$2))))</x:f>
      </x:c>
      <x:c r="V305" s="14" t="str">
        <x:f>IF(R305="","",IF(Q305=0,$H$2,IF(R305=0,$H$7,IF(R305&lt;Q305,INDEX($H$7:$H$106,R305+1),$H$2))))</x:f>
      </x:c>
      <x:c r="W305" s="188" t="str">
        <x:f>IF(R305="","",IF(U305=S305,1,MAX(0,MIN(1,(P305-S305)/(U305-S305)))))</x:f>
      </x:c>
    </x:row>
    <x:row r="306">
      <x:c r="A306" s="159" t="str">
        <x:f>IF(OR(A305="",A305&gt;=$D$2),"",A305+1)</x:f>
      </x:c>
      <x:c r="B306" s="162" t="str">
        <x:f>IF(A306="","",IFERROR(SUMPRODUCT(--('Project Plan'!$A$7:$A$206&lt;&gt;""),('Project Plan'!$P$7:$P$206+('Project Plan'!$P$7:$P$206="")),--('Project Plan'!$F$7:$F$206&lt;&gt;""),--('Project Plan'!$G$7:$G$206&lt;&gt;""),((A306&gt;='Project Plan'!$G$7:$G$206)+((A306&gt;='Project Plan'!$F$7:$F$206)*(A306&lt;'Project Plan'!$G$7:$G$206)*(A306-'Project Plan'!$F$7:$F$206+1)/('Project Plan'!$G$7:$G$206-'Project Plan'!$F$7:$F$206+1))))/SUMPRODUCT(--('Project Plan'!$A$7:$A$206&lt;&gt;""),('Project Plan'!$P$7:$P$206+('Project Plan'!$P$7:$P$206=""))),0))</x:f>
      </x:c>
      <x:c r="C306" s="162" t="str">
        <x:f>IF(A306="","",IF(A306&gt;$F$2,"",IF(A306=$F$2,$H$2,IFERROR(LOOKUP(2,1/(($G$7:$G$106&lt;&gt;"")*($G$7:$G$106&lt;=A306)),$H$7:$H$106),""))))</x:f>
      </x:c>
      <x:c r="D306" s="162" t="str">
        <x:f>IF(C306="","",C306-B306)</x:f>
      </x:c>
      <x:c r="E306" s="163" t="str">
        <x:f>IF(D306="","",IF(D306&gt;=0,"On / Ahead",IF(D306&gt;=-0.05,"Watch","Behind")))</x:f>
      </x:c>
      <x:c r="J306"/>
      <x:c r="K306"/>
      <x:c r="L306"/>
      <x:c r="M306" t="str">
        <x:f>IF(A306="","",TEXT(A306,"mmm d"))</x:f>
      </x:c>
      <x:c r="N306" s="14" t="e">
        <x:f>IF(B306="",NA(),B306)</x:f>
        <x:v>#N/A</x:v>
      </x:c>
      <x:c r="O306" s="14" t="e">
        <x:f>IF(OR(P306="",$B$2="",$F$2="",P306&lt;$B$2,P306&gt;$F$2),NA(),IF(Q306=0,IF($F$2=$B$2,$H$2,MAX(0,MIN(1,$H$2*(3*MAX(0,MIN(1,(P306-$B$2)/($F$2-$B$2)))^2-2*MAX(0,MIN(1,(P306-$B$2)/($F$2-$B$2)))^3)))),MAX(0,MIN(1,T306+(V306-T306)*(3*W306^2-2*W306^3)))))</x:f>
        <x:v>#N/A</x:v>
      </x:c>
      <x:c r="P306" s="189" t="str">
        <x:f>A306</x:f>
      </x:c>
      <x:c r="Q306" t="n">
        <x:f>COUNT($G$7:$G$106)</x:f>
        <x:v>0</x:v>
      </x:c>
      <x:c r="R306" t="str">
        <x:f>IF(OR(P306="",$B$2="",$F$2="",P306&lt;$B$2,P306&gt;$F$2),"",IF(Q306=0,0,IF(P306&lt;$G$7,0,IF(P306&gt;=INDEX($G$7:$G$106,Q306),Q306,MATCH(P306,$G$7:$G$106,1)))))</x:f>
      </x:c>
      <x:c r="S306" t="str">
        <x:f>IF(R306="","",IF(R306=0,$B$2,INDEX($G$7:$G$106,R306)))</x:f>
      </x:c>
      <x:c r="T306" s="14" t="str">
        <x:f>IF(R306="","",IF(R306=0,0,INDEX($H$7:$H$106,R306)))</x:f>
      </x:c>
      <x:c r="U306" t="str">
        <x:f>IF(R306="","",IF(Q306=0,$F$2,IF(R306=0,$G$7,IF(R306&lt;Q306,INDEX($G$7:$G$106,R306+1),$F$2))))</x:f>
      </x:c>
      <x:c r="V306" s="14" t="str">
        <x:f>IF(R306="","",IF(Q306=0,$H$2,IF(R306=0,$H$7,IF(R306&lt;Q306,INDEX($H$7:$H$106,R306+1),$H$2))))</x:f>
      </x:c>
      <x:c r="W306" s="188" t="str">
        <x:f>IF(R306="","",IF(U306=S306,1,MAX(0,MIN(1,(P306-S306)/(U306-S306)))))</x:f>
      </x:c>
    </x:row>
    <x:row r="307">
      <x:c r="A307" s="159" t="str">
        <x:f>IF(OR(A306="",A306&gt;=$D$2),"",A306+1)</x:f>
      </x:c>
      <x:c r="B307" s="162" t="str">
        <x:f>IF(A307="","",IFERROR(SUMPRODUCT(--('Project Plan'!$A$7:$A$206&lt;&gt;""),('Project Plan'!$P$7:$P$206+('Project Plan'!$P$7:$P$206="")),--('Project Plan'!$F$7:$F$206&lt;&gt;""),--('Project Plan'!$G$7:$G$206&lt;&gt;""),((A307&gt;='Project Plan'!$G$7:$G$206)+((A307&gt;='Project Plan'!$F$7:$F$206)*(A307&lt;'Project Plan'!$G$7:$G$206)*(A307-'Project Plan'!$F$7:$F$206+1)/('Project Plan'!$G$7:$G$206-'Project Plan'!$F$7:$F$206+1))))/SUMPRODUCT(--('Project Plan'!$A$7:$A$206&lt;&gt;""),('Project Plan'!$P$7:$P$206+('Project Plan'!$P$7:$P$206=""))),0))</x:f>
      </x:c>
      <x:c r="C307" s="162" t="str">
        <x:f>IF(A307="","",IF(A307&gt;$F$2,"",IF(A307=$F$2,$H$2,IFERROR(LOOKUP(2,1/(($G$7:$G$106&lt;&gt;"")*($G$7:$G$106&lt;=A307)),$H$7:$H$106),""))))</x:f>
      </x:c>
      <x:c r="D307" s="162" t="str">
        <x:f>IF(C307="","",C307-B307)</x:f>
      </x:c>
      <x:c r="E307" s="163" t="str">
        <x:f>IF(D307="","",IF(D307&gt;=0,"On / Ahead",IF(D307&gt;=-0.05,"Watch","Behind")))</x:f>
      </x:c>
      <x:c r="J307"/>
      <x:c r="K307"/>
      <x:c r="L307"/>
      <x:c r="M307" t="str">
        <x:f>IF(A307="","",TEXT(A307,"mmm d"))</x:f>
      </x:c>
      <x:c r="N307" s="14" t="e">
        <x:f>IF(B307="",NA(),B307)</x:f>
        <x:v>#N/A</x:v>
      </x:c>
      <x:c r="O307" s="14" t="e">
        <x:f>IF(OR(P307="",$B$2="",$F$2="",P307&lt;$B$2,P307&gt;$F$2),NA(),IF(Q307=0,IF($F$2=$B$2,$H$2,MAX(0,MIN(1,$H$2*(3*MAX(0,MIN(1,(P307-$B$2)/($F$2-$B$2)))^2-2*MAX(0,MIN(1,(P307-$B$2)/($F$2-$B$2)))^3)))),MAX(0,MIN(1,T307+(V307-T307)*(3*W307^2-2*W307^3)))))</x:f>
        <x:v>#N/A</x:v>
      </x:c>
      <x:c r="P307" s="189" t="str">
        <x:f>A307</x:f>
      </x:c>
      <x:c r="Q307" t="n">
        <x:f>COUNT($G$7:$G$106)</x:f>
        <x:v>0</x:v>
      </x:c>
      <x:c r="R307" t="str">
        <x:f>IF(OR(P307="",$B$2="",$F$2="",P307&lt;$B$2,P307&gt;$F$2),"",IF(Q307=0,0,IF(P307&lt;$G$7,0,IF(P307&gt;=INDEX($G$7:$G$106,Q307),Q307,MATCH(P307,$G$7:$G$106,1)))))</x:f>
      </x:c>
      <x:c r="S307" t="str">
        <x:f>IF(R307="","",IF(R307=0,$B$2,INDEX($G$7:$G$106,R307)))</x:f>
      </x:c>
      <x:c r="T307" s="14" t="str">
        <x:f>IF(R307="","",IF(R307=0,0,INDEX($H$7:$H$106,R307)))</x:f>
      </x:c>
      <x:c r="U307" t="str">
        <x:f>IF(R307="","",IF(Q307=0,$F$2,IF(R307=0,$G$7,IF(R307&lt;Q307,INDEX($G$7:$G$106,R307+1),$F$2))))</x:f>
      </x:c>
      <x:c r="V307" s="14" t="str">
        <x:f>IF(R307="","",IF(Q307=0,$H$2,IF(R307=0,$H$7,IF(R307&lt;Q307,INDEX($H$7:$H$106,R307+1),$H$2))))</x:f>
      </x:c>
      <x:c r="W307" s="188" t="str">
        <x:f>IF(R307="","",IF(U307=S307,1,MAX(0,MIN(1,(P307-S307)/(U307-S307)))))</x:f>
      </x:c>
    </x:row>
    <x:row r="308">
      <x:c r="A308" s="159" t="str">
        <x:f>IF(OR(A307="",A307&gt;=$D$2),"",A307+1)</x:f>
      </x:c>
      <x:c r="B308" s="162" t="str">
        <x:f>IF(A308="","",IFERROR(SUMPRODUCT(--('Project Plan'!$A$7:$A$206&lt;&gt;""),('Project Plan'!$P$7:$P$206+('Project Plan'!$P$7:$P$206="")),--('Project Plan'!$F$7:$F$206&lt;&gt;""),--('Project Plan'!$G$7:$G$206&lt;&gt;""),((A308&gt;='Project Plan'!$G$7:$G$206)+((A308&gt;='Project Plan'!$F$7:$F$206)*(A308&lt;'Project Plan'!$G$7:$G$206)*(A308-'Project Plan'!$F$7:$F$206+1)/('Project Plan'!$G$7:$G$206-'Project Plan'!$F$7:$F$206+1))))/SUMPRODUCT(--('Project Plan'!$A$7:$A$206&lt;&gt;""),('Project Plan'!$P$7:$P$206+('Project Plan'!$P$7:$P$206=""))),0))</x:f>
      </x:c>
      <x:c r="C308" s="162" t="str">
        <x:f>IF(A308="","",IF(A308&gt;$F$2,"",IF(A308=$F$2,$H$2,IFERROR(LOOKUP(2,1/(($G$7:$G$106&lt;&gt;"")*($G$7:$G$106&lt;=A308)),$H$7:$H$106),""))))</x:f>
      </x:c>
      <x:c r="D308" s="162" t="str">
        <x:f>IF(C308="","",C308-B308)</x:f>
      </x:c>
      <x:c r="E308" s="163" t="str">
        <x:f>IF(D308="","",IF(D308&gt;=0,"On / Ahead",IF(D308&gt;=-0.05,"Watch","Behind")))</x:f>
      </x:c>
      <x:c r="J308"/>
      <x:c r="K308"/>
      <x:c r="L308"/>
      <x:c r="M308" t="str">
        <x:f>IF(A308="","",TEXT(A308,"mmm d"))</x:f>
      </x:c>
      <x:c r="N308" s="14" t="e">
        <x:f>IF(B308="",NA(),B308)</x:f>
        <x:v>#N/A</x:v>
      </x:c>
      <x:c r="O308" s="14" t="e">
        <x:f>IF(OR(P308="",$B$2="",$F$2="",P308&lt;$B$2,P308&gt;$F$2),NA(),IF(Q308=0,IF($F$2=$B$2,$H$2,MAX(0,MIN(1,$H$2*(3*MAX(0,MIN(1,(P308-$B$2)/($F$2-$B$2)))^2-2*MAX(0,MIN(1,(P308-$B$2)/($F$2-$B$2)))^3)))),MAX(0,MIN(1,T308+(V308-T308)*(3*W308^2-2*W308^3)))))</x:f>
        <x:v>#N/A</x:v>
      </x:c>
      <x:c r="P308" s="189" t="str">
        <x:f>A308</x:f>
      </x:c>
      <x:c r="Q308" t="n">
        <x:f>COUNT($G$7:$G$106)</x:f>
        <x:v>0</x:v>
      </x:c>
      <x:c r="R308" t="str">
        <x:f>IF(OR(P308="",$B$2="",$F$2="",P308&lt;$B$2,P308&gt;$F$2),"",IF(Q308=0,0,IF(P308&lt;$G$7,0,IF(P308&gt;=INDEX($G$7:$G$106,Q308),Q308,MATCH(P308,$G$7:$G$106,1)))))</x:f>
      </x:c>
      <x:c r="S308" t="str">
        <x:f>IF(R308="","",IF(R308=0,$B$2,INDEX($G$7:$G$106,R308)))</x:f>
      </x:c>
      <x:c r="T308" s="14" t="str">
        <x:f>IF(R308="","",IF(R308=0,0,INDEX($H$7:$H$106,R308)))</x:f>
      </x:c>
      <x:c r="U308" t="str">
        <x:f>IF(R308="","",IF(Q308=0,$F$2,IF(R308=0,$G$7,IF(R308&lt;Q308,INDEX($G$7:$G$106,R308+1),$F$2))))</x:f>
      </x:c>
      <x:c r="V308" s="14" t="str">
        <x:f>IF(R308="","",IF(Q308=0,$H$2,IF(R308=0,$H$7,IF(R308&lt;Q308,INDEX($H$7:$H$106,R308+1),$H$2))))</x:f>
      </x:c>
      <x:c r="W308" s="188" t="str">
        <x:f>IF(R308="","",IF(U308=S308,1,MAX(0,MIN(1,(P308-S308)/(U308-S308)))))</x:f>
      </x:c>
    </x:row>
    <x:row r="309">
      <x:c r="A309" s="159" t="str">
        <x:f>IF(OR(A308="",A308&gt;=$D$2),"",A308+1)</x:f>
      </x:c>
      <x:c r="B309" s="162" t="str">
        <x:f>IF(A309="","",IFERROR(SUMPRODUCT(--('Project Plan'!$A$7:$A$206&lt;&gt;""),('Project Plan'!$P$7:$P$206+('Project Plan'!$P$7:$P$206="")),--('Project Plan'!$F$7:$F$206&lt;&gt;""),--('Project Plan'!$G$7:$G$206&lt;&gt;""),((A309&gt;='Project Plan'!$G$7:$G$206)+((A309&gt;='Project Plan'!$F$7:$F$206)*(A309&lt;'Project Plan'!$G$7:$G$206)*(A309-'Project Plan'!$F$7:$F$206+1)/('Project Plan'!$G$7:$G$206-'Project Plan'!$F$7:$F$206+1))))/SUMPRODUCT(--('Project Plan'!$A$7:$A$206&lt;&gt;""),('Project Plan'!$P$7:$P$206+('Project Plan'!$P$7:$P$206=""))),0))</x:f>
      </x:c>
      <x:c r="C309" s="162" t="str">
        <x:f>IF(A309="","",IF(A309&gt;$F$2,"",IF(A309=$F$2,$H$2,IFERROR(LOOKUP(2,1/(($G$7:$G$106&lt;&gt;"")*($G$7:$G$106&lt;=A309)),$H$7:$H$106),""))))</x:f>
      </x:c>
      <x:c r="D309" s="162" t="str">
        <x:f>IF(C309="","",C309-B309)</x:f>
      </x:c>
      <x:c r="E309" s="163" t="str">
        <x:f>IF(D309="","",IF(D309&gt;=0,"On / Ahead",IF(D309&gt;=-0.05,"Watch","Behind")))</x:f>
      </x:c>
      <x:c r="J309"/>
      <x:c r="K309"/>
      <x:c r="L309"/>
      <x:c r="M309" t="str">
        <x:f>IF(A309="","",TEXT(A309,"mmm d"))</x:f>
      </x:c>
      <x:c r="N309" s="14" t="e">
        <x:f>IF(B309="",NA(),B309)</x:f>
        <x:v>#N/A</x:v>
      </x:c>
      <x:c r="O309" s="14" t="e">
        <x:f>IF(OR(P309="",$B$2="",$F$2="",P309&lt;$B$2,P309&gt;$F$2),NA(),IF(Q309=0,IF($F$2=$B$2,$H$2,MAX(0,MIN(1,$H$2*(3*MAX(0,MIN(1,(P309-$B$2)/($F$2-$B$2)))^2-2*MAX(0,MIN(1,(P309-$B$2)/($F$2-$B$2)))^3)))),MAX(0,MIN(1,T309+(V309-T309)*(3*W309^2-2*W309^3)))))</x:f>
        <x:v>#N/A</x:v>
      </x:c>
      <x:c r="P309" s="189" t="str">
        <x:f>A309</x:f>
      </x:c>
      <x:c r="Q309" t="n">
        <x:f>COUNT($G$7:$G$106)</x:f>
        <x:v>0</x:v>
      </x:c>
      <x:c r="R309" t="str">
        <x:f>IF(OR(P309="",$B$2="",$F$2="",P309&lt;$B$2,P309&gt;$F$2),"",IF(Q309=0,0,IF(P309&lt;$G$7,0,IF(P309&gt;=INDEX($G$7:$G$106,Q309),Q309,MATCH(P309,$G$7:$G$106,1)))))</x:f>
      </x:c>
      <x:c r="S309" t="str">
        <x:f>IF(R309="","",IF(R309=0,$B$2,INDEX($G$7:$G$106,R309)))</x:f>
      </x:c>
      <x:c r="T309" s="14" t="str">
        <x:f>IF(R309="","",IF(R309=0,0,INDEX($H$7:$H$106,R309)))</x:f>
      </x:c>
      <x:c r="U309" t="str">
        <x:f>IF(R309="","",IF(Q309=0,$F$2,IF(R309=0,$G$7,IF(R309&lt;Q309,INDEX($G$7:$G$106,R309+1),$F$2))))</x:f>
      </x:c>
      <x:c r="V309" s="14" t="str">
        <x:f>IF(R309="","",IF(Q309=0,$H$2,IF(R309=0,$H$7,IF(R309&lt;Q309,INDEX($H$7:$H$106,R309+1),$H$2))))</x:f>
      </x:c>
      <x:c r="W309" s="188" t="str">
        <x:f>IF(R309="","",IF(U309=S309,1,MAX(0,MIN(1,(P309-S309)/(U309-S309)))))</x:f>
      </x:c>
    </x:row>
    <x:row r="310">
      <x:c r="A310" s="159" t="str">
        <x:f>IF(OR(A309="",A309&gt;=$D$2),"",A309+1)</x:f>
      </x:c>
      <x:c r="B310" s="162" t="str">
        <x:f>IF(A310="","",IFERROR(SUMPRODUCT(--('Project Plan'!$A$7:$A$206&lt;&gt;""),('Project Plan'!$P$7:$P$206+('Project Plan'!$P$7:$P$206="")),--('Project Plan'!$F$7:$F$206&lt;&gt;""),--('Project Plan'!$G$7:$G$206&lt;&gt;""),((A310&gt;='Project Plan'!$G$7:$G$206)+((A310&gt;='Project Plan'!$F$7:$F$206)*(A310&lt;'Project Plan'!$G$7:$G$206)*(A310-'Project Plan'!$F$7:$F$206+1)/('Project Plan'!$G$7:$G$206-'Project Plan'!$F$7:$F$206+1))))/SUMPRODUCT(--('Project Plan'!$A$7:$A$206&lt;&gt;""),('Project Plan'!$P$7:$P$206+('Project Plan'!$P$7:$P$206=""))),0))</x:f>
      </x:c>
      <x:c r="C310" s="162" t="str">
        <x:f>IF(A310="","",IF(A310&gt;$F$2,"",IF(A310=$F$2,$H$2,IFERROR(LOOKUP(2,1/(($G$7:$G$106&lt;&gt;"")*($G$7:$G$106&lt;=A310)),$H$7:$H$106),""))))</x:f>
      </x:c>
      <x:c r="D310" s="162" t="str">
        <x:f>IF(C310="","",C310-B310)</x:f>
      </x:c>
      <x:c r="E310" s="163" t="str">
        <x:f>IF(D310="","",IF(D310&gt;=0,"On / Ahead",IF(D310&gt;=-0.05,"Watch","Behind")))</x:f>
      </x:c>
      <x:c r="J310"/>
      <x:c r="K310"/>
      <x:c r="L310"/>
      <x:c r="M310" t="str">
        <x:f>IF(A310="","",TEXT(A310,"mmm d"))</x:f>
      </x:c>
      <x:c r="N310" s="14" t="e">
        <x:f>IF(B310="",NA(),B310)</x:f>
        <x:v>#N/A</x:v>
      </x:c>
      <x:c r="O310" s="14" t="e">
        <x:f>IF(OR(P310="",$B$2="",$F$2="",P310&lt;$B$2,P310&gt;$F$2),NA(),IF(Q310=0,IF($F$2=$B$2,$H$2,MAX(0,MIN(1,$H$2*(3*MAX(0,MIN(1,(P310-$B$2)/($F$2-$B$2)))^2-2*MAX(0,MIN(1,(P310-$B$2)/($F$2-$B$2)))^3)))),MAX(0,MIN(1,T310+(V310-T310)*(3*W310^2-2*W310^3)))))</x:f>
        <x:v>#N/A</x:v>
      </x:c>
      <x:c r="P310" s="189" t="str">
        <x:f>A310</x:f>
      </x:c>
      <x:c r="Q310" t="n">
        <x:f>COUNT($G$7:$G$106)</x:f>
        <x:v>0</x:v>
      </x:c>
      <x:c r="R310" t="str">
        <x:f>IF(OR(P310="",$B$2="",$F$2="",P310&lt;$B$2,P310&gt;$F$2),"",IF(Q310=0,0,IF(P310&lt;$G$7,0,IF(P310&gt;=INDEX($G$7:$G$106,Q310),Q310,MATCH(P310,$G$7:$G$106,1)))))</x:f>
      </x:c>
      <x:c r="S310" t="str">
        <x:f>IF(R310="","",IF(R310=0,$B$2,INDEX($G$7:$G$106,R310)))</x:f>
      </x:c>
      <x:c r="T310" s="14" t="str">
        <x:f>IF(R310="","",IF(R310=0,0,INDEX($H$7:$H$106,R310)))</x:f>
      </x:c>
      <x:c r="U310" t="str">
        <x:f>IF(R310="","",IF(Q310=0,$F$2,IF(R310=0,$G$7,IF(R310&lt;Q310,INDEX($G$7:$G$106,R310+1),$F$2))))</x:f>
      </x:c>
      <x:c r="V310" s="14" t="str">
        <x:f>IF(R310="","",IF(Q310=0,$H$2,IF(R310=0,$H$7,IF(R310&lt;Q310,INDEX($H$7:$H$106,R310+1),$H$2))))</x:f>
      </x:c>
      <x:c r="W310" s="188" t="str">
        <x:f>IF(R310="","",IF(U310=S310,1,MAX(0,MIN(1,(P310-S310)/(U310-S310)))))</x:f>
      </x:c>
    </x:row>
    <x:row r="311">
      <x:c r="A311" s="159" t="str">
        <x:f>IF(OR(A310="",A310&gt;=$D$2),"",A310+1)</x:f>
      </x:c>
      <x:c r="B311" s="162" t="str">
        <x:f>IF(A311="","",IFERROR(SUMPRODUCT(--('Project Plan'!$A$7:$A$206&lt;&gt;""),('Project Plan'!$P$7:$P$206+('Project Plan'!$P$7:$P$206="")),--('Project Plan'!$F$7:$F$206&lt;&gt;""),--('Project Plan'!$G$7:$G$206&lt;&gt;""),((A311&gt;='Project Plan'!$G$7:$G$206)+((A311&gt;='Project Plan'!$F$7:$F$206)*(A311&lt;'Project Plan'!$G$7:$G$206)*(A311-'Project Plan'!$F$7:$F$206+1)/('Project Plan'!$G$7:$G$206-'Project Plan'!$F$7:$F$206+1))))/SUMPRODUCT(--('Project Plan'!$A$7:$A$206&lt;&gt;""),('Project Plan'!$P$7:$P$206+('Project Plan'!$P$7:$P$206=""))),0))</x:f>
      </x:c>
      <x:c r="C311" s="162" t="str">
        <x:f>IF(A311="","",IF(A311&gt;$F$2,"",IF(A311=$F$2,$H$2,IFERROR(LOOKUP(2,1/(($G$7:$G$106&lt;&gt;"")*($G$7:$G$106&lt;=A311)),$H$7:$H$106),""))))</x:f>
      </x:c>
      <x:c r="D311" s="162" t="str">
        <x:f>IF(C311="","",C311-B311)</x:f>
      </x:c>
      <x:c r="E311" s="163" t="str">
        <x:f>IF(D311="","",IF(D311&gt;=0,"On / Ahead",IF(D311&gt;=-0.05,"Watch","Behind")))</x:f>
      </x:c>
      <x:c r="J311"/>
      <x:c r="K311"/>
      <x:c r="L311"/>
      <x:c r="M311" t="str">
        <x:f>IF(A311="","",TEXT(A311,"mmm d"))</x:f>
      </x:c>
      <x:c r="N311" s="14" t="e">
        <x:f>IF(B311="",NA(),B311)</x:f>
        <x:v>#N/A</x:v>
      </x:c>
      <x:c r="O311" s="14" t="e">
        <x:f>IF(OR(P311="",$B$2="",$F$2="",P311&lt;$B$2,P311&gt;$F$2),NA(),IF(Q311=0,IF($F$2=$B$2,$H$2,MAX(0,MIN(1,$H$2*(3*MAX(0,MIN(1,(P311-$B$2)/($F$2-$B$2)))^2-2*MAX(0,MIN(1,(P311-$B$2)/($F$2-$B$2)))^3)))),MAX(0,MIN(1,T311+(V311-T311)*(3*W311^2-2*W311^3)))))</x:f>
        <x:v>#N/A</x:v>
      </x:c>
      <x:c r="P311" s="189" t="str">
        <x:f>A311</x:f>
      </x:c>
      <x:c r="Q311" t="n">
        <x:f>COUNT($G$7:$G$106)</x:f>
        <x:v>0</x:v>
      </x:c>
      <x:c r="R311" t="str">
        <x:f>IF(OR(P311="",$B$2="",$F$2="",P311&lt;$B$2,P311&gt;$F$2),"",IF(Q311=0,0,IF(P311&lt;$G$7,0,IF(P311&gt;=INDEX($G$7:$G$106,Q311),Q311,MATCH(P311,$G$7:$G$106,1)))))</x:f>
      </x:c>
      <x:c r="S311" t="str">
        <x:f>IF(R311="","",IF(R311=0,$B$2,INDEX($G$7:$G$106,R311)))</x:f>
      </x:c>
      <x:c r="T311" s="14" t="str">
        <x:f>IF(R311="","",IF(R311=0,0,INDEX($H$7:$H$106,R311)))</x:f>
      </x:c>
      <x:c r="U311" t="str">
        <x:f>IF(R311="","",IF(Q311=0,$F$2,IF(R311=0,$G$7,IF(R311&lt;Q311,INDEX($G$7:$G$106,R311+1),$F$2))))</x:f>
      </x:c>
      <x:c r="V311" s="14" t="str">
        <x:f>IF(R311="","",IF(Q311=0,$H$2,IF(R311=0,$H$7,IF(R311&lt;Q311,INDEX($H$7:$H$106,R311+1),$H$2))))</x:f>
      </x:c>
      <x:c r="W311" s="188" t="str">
        <x:f>IF(R311="","",IF(U311=S311,1,MAX(0,MIN(1,(P311-S311)/(U311-S311)))))</x:f>
      </x:c>
    </x:row>
    <x:row r="312">
      <x:c r="A312" s="159" t="str">
        <x:f>IF(OR(A311="",A311&gt;=$D$2),"",A311+1)</x:f>
      </x:c>
      <x:c r="B312" s="162" t="str">
        <x:f>IF(A312="","",IFERROR(SUMPRODUCT(--('Project Plan'!$A$7:$A$206&lt;&gt;""),('Project Plan'!$P$7:$P$206+('Project Plan'!$P$7:$P$206="")),--('Project Plan'!$F$7:$F$206&lt;&gt;""),--('Project Plan'!$G$7:$G$206&lt;&gt;""),((A312&gt;='Project Plan'!$G$7:$G$206)+((A312&gt;='Project Plan'!$F$7:$F$206)*(A312&lt;'Project Plan'!$G$7:$G$206)*(A312-'Project Plan'!$F$7:$F$206+1)/('Project Plan'!$G$7:$G$206-'Project Plan'!$F$7:$F$206+1))))/SUMPRODUCT(--('Project Plan'!$A$7:$A$206&lt;&gt;""),('Project Plan'!$P$7:$P$206+('Project Plan'!$P$7:$P$206=""))),0))</x:f>
      </x:c>
      <x:c r="C312" s="162" t="str">
        <x:f>IF(A312="","",IF(A312&gt;$F$2,"",IF(A312=$F$2,$H$2,IFERROR(LOOKUP(2,1/(($G$7:$G$106&lt;&gt;"")*($G$7:$G$106&lt;=A312)),$H$7:$H$106),""))))</x:f>
      </x:c>
      <x:c r="D312" s="162" t="str">
        <x:f>IF(C312="","",C312-B312)</x:f>
      </x:c>
      <x:c r="E312" s="163" t="str">
        <x:f>IF(D312="","",IF(D312&gt;=0,"On / Ahead",IF(D312&gt;=-0.05,"Watch","Behind")))</x:f>
      </x:c>
      <x:c r="J312"/>
      <x:c r="K312"/>
      <x:c r="L312"/>
      <x:c r="M312" t="str">
        <x:f>IF(A312="","",TEXT(A312,"mmm d"))</x:f>
      </x:c>
      <x:c r="N312" s="14" t="e">
        <x:f>IF(B312="",NA(),B312)</x:f>
        <x:v>#N/A</x:v>
      </x:c>
      <x:c r="O312" s="14" t="e">
        <x:f>IF(OR(P312="",$B$2="",$F$2="",P312&lt;$B$2,P312&gt;$F$2),NA(),IF(Q312=0,IF($F$2=$B$2,$H$2,MAX(0,MIN(1,$H$2*(3*MAX(0,MIN(1,(P312-$B$2)/($F$2-$B$2)))^2-2*MAX(0,MIN(1,(P312-$B$2)/($F$2-$B$2)))^3)))),MAX(0,MIN(1,T312+(V312-T312)*(3*W312^2-2*W312^3)))))</x:f>
        <x:v>#N/A</x:v>
      </x:c>
      <x:c r="P312" s="189" t="str">
        <x:f>A312</x:f>
      </x:c>
      <x:c r="Q312" t="n">
        <x:f>COUNT($G$7:$G$106)</x:f>
        <x:v>0</x:v>
      </x:c>
      <x:c r="R312" t="str">
        <x:f>IF(OR(P312="",$B$2="",$F$2="",P312&lt;$B$2,P312&gt;$F$2),"",IF(Q312=0,0,IF(P312&lt;$G$7,0,IF(P312&gt;=INDEX($G$7:$G$106,Q312),Q312,MATCH(P312,$G$7:$G$106,1)))))</x:f>
      </x:c>
      <x:c r="S312" t="str">
        <x:f>IF(R312="","",IF(R312=0,$B$2,INDEX($G$7:$G$106,R312)))</x:f>
      </x:c>
      <x:c r="T312" s="14" t="str">
        <x:f>IF(R312="","",IF(R312=0,0,INDEX($H$7:$H$106,R312)))</x:f>
      </x:c>
      <x:c r="U312" t="str">
        <x:f>IF(R312="","",IF(Q312=0,$F$2,IF(R312=0,$G$7,IF(R312&lt;Q312,INDEX($G$7:$G$106,R312+1),$F$2))))</x:f>
      </x:c>
      <x:c r="V312" s="14" t="str">
        <x:f>IF(R312="","",IF(Q312=0,$H$2,IF(R312=0,$H$7,IF(R312&lt;Q312,INDEX($H$7:$H$106,R312+1),$H$2))))</x:f>
      </x:c>
      <x:c r="W312" s="188" t="str">
        <x:f>IF(R312="","",IF(U312=S312,1,MAX(0,MIN(1,(P312-S312)/(U312-S312)))))</x:f>
      </x:c>
    </x:row>
    <x:row r="313">
      <x:c r="A313" s="159" t="str">
        <x:f>IF(OR(A312="",A312&gt;=$D$2),"",A312+1)</x:f>
      </x:c>
      <x:c r="B313" s="162" t="str">
        <x:f>IF(A313="","",IFERROR(SUMPRODUCT(--('Project Plan'!$A$7:$A$206&lt;&gt;""),('Project Plan'!$P$7:$P$206+('Project Plan'!$P$7:$P$206="")),--('Project Plan'!$F$7:$F$206&lt;&gt;""),--('Project Plan'!$G$7:$G$206&lt;&gt;""),((A313&gt;='Project Plan'!$G$7:$G$206)+((A313&gt;='Project Plan'!$F$7:$F$206)*(A313&lt;'Project Plan'!$G$7:$G$206)*(A313-'Project Plan'!$F$7:$F$206+1)/('Project Plan'!$G$7:$G$206-'Project Plan'!$F$7:$F$206+1))))/SUMPRODUCT(--('Project Plan'!$A$7:$A$206&lt;&gt;""),('Project Plan'!$P$7:$P$206+('Project Plan'!$P$7:$P$206=""))),0))</x:f>
      </x:c>
      <x:c r="C313" s="162" t="str">
        <x:f>IF(A313="","",IF(A313&gt;$F$2,"",IF(A313=$F$2,$H$2,IFERROR(LOOKUP(2,1/(($G$7:$G$106&lt;&gt;"")*($G$7:$G$106&lt;=A313)),$H$7:$H$106),""))))</x:f>
      </x:c>
      <x:c r="D313" s="162" t="str">
        <x:f>IF(C313="","",C313-B313)</x:f>
      </x:c>
      <x:c r="E313" s="163" t="str">
        <x:f>IF(D313="","",IF(D313&gt;=0,"On / Ahead",IF(D313&gt;=-0.05,"Watch","Behind")))</x:f>
      </x:c>
      <x:c r="J313"/>
      <x:c r="K313"/>
      <x:c r="L313"/>
      <x:c r="M313" t="str">
        <x:f>IF(A313="","",TEXT(A313,"mmm d"))</x:f>
      </x:c>
      <x:c r="N313" s="14" t="e">
        <x:f>IF(B313="",NA(),B313)</x:f>
        <x:v>#N/A</x:v>
      </x:c>
      <x:c r="O313" s="14" t="e">
        <x:f>IF(OR(P313="",$B$2="",$F$2="",P313&lt;$B$2,P313&gt;$F$2),NA(),IF(Q313=0,IF($F$2=$B$2,$H$2,MAX(0,MIN(1,$H$2*(3*MAX(0,MIN(1,(P313-$B$2)/($F$2-$B$2)))^2-2*MAX(0,MIN(1,(P313-$B$2)/($F$2-$B$2)))^3)))),MAX(0,MIN(1,T313+(V313-T313)*(3*W313^2-2*W313^3)))))</x:f>
        <x:v>#N/A</x:v>
      </x:c>
      <x:c r="P313" s="189" t="str">
        <x:f>A313</x:f>
      </x:c>
      <x:c r="Q313" t="n">
        <x:f>COUNT($G$7:$G$106)</x:f>
        <x:v>0</x:v>
      </x:c>
      <x:c r="R313" t="str">
        <x:f>IF(OR(P313="",$B$2="",$F$2="",P313&lt;$B$2,P313&gt;$F$2),"",IF(Q313=0,0,IF(P313&lt;$G$7,0,IF(P313&gt;=INDEX($G$7:$G$106,Q313),Q313,MATCH(P313,$G$7:$G$106,1)))))</x:f>
      </x:c>
      <x:c r="S313" t="str">
        <x:f>IF(R313="","",IF(R313=0,$B$2,INDEX($G$7:$G$106,R313)))</x:f>
      </x:c>
      <x:c r="T313" s="14" t="str">
        <x:f>IF(R313="","",IF(R313=0,0,INDEX($H$7:$H$106,R313)))</x:f>
      </x:c>
      <x:c r="U313" t="str">
        <x:f>IF(R313="","",IF(Q313=0,$F$2,IF(R313=0,$G$7,IF(R313&lt;Q313,INDEX($G$7:$G$106,R313+1),$F$2))))</x:f>
      </x:c>
      <x:c r="V313" s="14" t="str">
        <x:f>IF(R313="","",IF(Q313=0,$H$2,IF(R313=0,$H$7,IF(R313&lt;Q313,INDEX($H$7:$H$106,R313+1),$H$2))))</x:f>
      </x:c>
      <x:c r="W313" s="188" t="str">
        <x:f>IF(R313="","",IF(U313=S313,1,MAX(0,MIN(1,(P313-S313)/(U313-S313)))))</x:f>
      </x:c>
    </x:row>
    <x:row r="314">
      <x:c r="A314" s="159" t="str">
        <x:f>IF(OR(A313="",A313&gt;=$D$2),"",A313+1)</x:f>
      </x:c>
      <x:c r="B314" s="162" t="str">
        <x:f>IF(A314="","",IFERROR(SUMPRODUCT(--('Project Plan'!$A$7:$A$206&lt;&gt;""),('Project Plan'!$P$7:$P$206+('Project Plan'!$P$7:$P$206="")),--('Project Plan'!$F$7:$F$206&lt;&gt;""),--('Project Plan'!$G$7:$G$206&lt;&gt;""),((A314&gt;='Project Plan'!$G$7:$G$206)+((A314&gt;='Project Plan'!$F$7:$F$206)*(A314&lt;'Project Plan'!$G$7:$G$206)*(A314-'Project Plan'!$F$7:$F$206+1)/('Project Plan'!$G$7:$G$206-'Project Plan'!$F$7:$F$206+1))))/SUMPRODUCT(--('Project Plan'!$A$7:$A$206&lt;&gt;""),('Project Plan'!$P$7:$P$206+('Project Plan'!$P$7:$P$206=""))),0))</x:f>
      </x:c>
      <x:c r="C314" s="162" t="str">
        <x:f>IF(A314="","",IF(A314&gt;$F$2,"",IF(A314=$F$2,$H$2,IFERROR(LOOKUP(2,1/(($G$7:$G$106&lt;&gt;"")*($G$7:$G$106&lt;=A314)),$H$7:$H$106),""))))</x:f>
      </x:c>
      <x:c r="D314" s="162" t="str">
        <x:f>IF(C314="","",C314-B314)</x:f>
      </x:c>
      <x:c r="E314" s="163" t="str">
        <x:f>IF(D314="","",IF(D314&gt;=0,"On / Ahead",IF(D314&gt;=-0.05,"Watch","Behind")))</x:f>
      </x:c>
      <x:c r="J314"/>
      <x:c r="K314"/>
      <x:c r="L314"/>
      <x:c r="M314" t="str">
        <x:f>IF(A314="","",TEXT(A314,"mmm d"))</x:f>
      </x:c>
      <x:c r="N314" s="14" t="e">
        <x:f>IF(B314="",NA(),B314)</x:f>
        <x:v>#N/A</x:v>
      </x:c>
      <x:c r="O314" s="14" t="e">
        <x:f>IF(OR(P314="",$B$2="",$F$2="",P314&lt;$B$2,P314&gt;$F$2),NA(),IF(Q314=0,IF($F$2=$B$2,$H$2,MAX(0,MIN(1,$H$2*(3*MAX(0,MIN(1,(P314-$B$2)/($F$2-$B$2)))^2-2*MAX(0,MIN(1,(P314-$B$2)/($F$2-$B$2)))^3)))),MAX(0,MIN(1,T314+(V314-T314)*(3*W314^2-2*W314^3)))))</x:f>
        <x:v>#N/A</x:v>
      </x:c>
      <x:c r="P314" s="189" t="str">
        <x:f>A314</x:f>
      </x:c>
      <x:c r="Q314" t="n">
        <x:f>COUNT($G$7:$G$106)</x:f>
        <x:v>0</x:v>
      </x:c>
      <x:c r="R314" t="str">
        <x:f>IF(OR(P314="",$B$2="",$F$2="",P314&lt;$B$2,P314&gt;$F$2),"",IF(Q314=0,0,IF(P314&lt;$G$7,0,IF(P314&gt;=INDEX($G$7:$G$106,Q314),Q314,MATCH(P314,$G$7:$G$106,1)))))</x:f>
      </x:c>
      <x:c r="S314" t="str">
        <x:f>IF(R314="","",IF(R314=0,$B$2,INDEX($G$7:$G$106,R314)))</x:f>
      </x:c>
      <x:c r="T314" s="14" t="str">
        <x:f>IF(R314="","",IF(R314=0,0,INDEX($H$7:$H$106,R314)))</x:f>
      </x:c>
      <x:c r="U314" t="str">
        <x:f>IF(R314="","",IF(Q314=0,$F$2,IF(R314=0,$G$7,IF(R314&lt;Q314,INDEX($G$7:$G$106,R314+1),$F$2))))</x:f>
      </x:c>
      <x:c r="V314" s="14" t="str">
        <x:f>IF(R314="","",IF(Q314=0,$H$2,IF(R314=0,$H$7,IF(R314&lt;Q314,INDEX($H$7:$H$106,R314+1),$H$2))))</x:f>
      </x:c>
      <x:c r="W314" s="188" t="str">
        <x:f>IF(R314="","",IF(U314=S314,1,MAX(0,MIN(1,(P314-S314)/(U314-S314)))))</x:f>
      </x:c>
    </x:row>
    <x:row r="315">
      <x:c r="A315" s="159" t="str">
        <x:f>IF(OR(A314="",A314&gt;=$D$2),"",A314+1)</x:f>
      </x:c>
      <x:c r="B315" s="162" t="str">
        <x:f>IF(A315="","",IFERROR(SUMPRODUCT(--('Project Plan'!$A$7:$A$206&lt;&gt;""),('Project Plan'!$P$7:$P$206+('Project Plan'!$P$7:$P$206="")),--('Project Plan'!$F$7:$F$206&lt;&gt;""),--('Project Plan'!$G$7:$G$206&lt;&gt;""),((A315&gt;='Project Plan'!$G$7:$G$206)+((A315&gt;='Project Plan'!$F$7:$F$206)*(A315&lt;'Project Plan'!$G$7:$G$206)*(A315-'Project Plan'!$F$7:$F$206+1)/('Project Plan'!$G$7:$G$206-'Project Plan'!$F$7:$F$206+1))))/SUMPRODUCT(--('Project Plan'!$A$7:$A$206&lt;&gt;""),('Project Plan'!$P$7:$P$206+('Project Plan'!$P$7:$P$206=""))),0))</x:f>
      </x:c>
      <x:c r="C315" s="162" t="str">
        <x:f>IF(A315="","",IF(A315&gt;$F$2,"",IF(A315=$F$2,$H$2,IFERROR(LOOKUP(2,1/(($G$7:$G$106&lt;&gt;"")*($G$7:$G$106&lt;=A315)),$H$7:$H$106),""))))</x:f>
      </x:c>
      <x:c r="D315" s="162" t="str">
        <x:f>IF(C315="","",C315-B315)</x:f>
      </x:c>
      <x:c r="E315" s="163" t="str">
        <x:f>IF(D315="","",IF(D315&gt;=0,"On / Ahead",IF(D315&gt;=-0.05,"Watch","Behind")))</x:f>
      </x:c>
      <x:c r="J315"/>
      <x:c r="K315"/>
      <x:c r="L315"/>
      <x:c r="M315" t="str">
        <x:f>IF(A315="","",TEXT(A315,"mmm d"))</x:f>
      </x:c>
      <x:c r="N315" s="14" t="e">
        <x:f>IF(B315="",NA(),B315)</x:f>
        <x:v>#N/A</x:v>
      </x:c>
      <x:c r="O315" s="14" t="e">
        <x:f>IF(OR(P315="",$B$2="",$F$2="",P315&lt;$B$2,P315&gt;$F$2),NA(),IF(Q315=0,IF($F$2=$B$2,$H$2,MAX(0,MIN(1,$H$2*(3*MAX(0,MIN(1,(P315-$B$2)/($F$2-$B$2)))^2-2*MAX(0,MIN(1,(P315-$B$2)/($F$2-$B$2)))^3)))),MAX(0,MIN(1,T315+(V315-T315)*(3*W315^2-2*W315^3)))))</x:f>
        <x:v>#N/A</x:v>
      </x:c>
      <x:c r="P315" s="189" t="str">
        <x:f>A315</x:f>
      </x:c>
      <x:c r="Q315" t="n">
        <x:f>COUNT($G$7:$G$106)</x:f>
        <x:v>0</x:v>
      </x:c>
      <x:c r="R315" t="str">
        <x:f>IF(OR(P315="",$B$2="",$F$2="",P315&lt;$B$2,P315&gt;$F$2),"",IF(Q315=0,0,IF(P315&lt;$G$7,0,IF(P315&gt;=INDEX($G$7:$G$106,Q315),Q315,MATCH(P315,$G$7:$G$106,1)))))</x:f>
      </x:c>
      <x:c r="S315" t="str">
        <x:f>IF(R315="","",IF(R315=0,$B$2,INDEX($G$7:$G$106,R315)))</x:f>
      </x:c>
      <x:c r="T315" s="14" t="str">
        <x:f>IF(R315="","",IF(R315=0,0,INDEX($H$7:$H$106,R315)))</x:f>
      </x:c>
      <x:c r="U315" t="str">
        <x:f>IF(R315="","",IF(Q315=0,$F$2,IF(R315=0,$G$7,IF(R315&lt;Q315,INDEX($G$7:$G$106,R315+1),$F$2))))</x:f>
      </x:c>
      <x:c r="V315" s="14" t="str">
        <x:f>IF(R315="","",IF(Q315=0,$H$2,IF(R315=0,$H$7,IF(R315&lt;Q315,INDEX($H$7:$H$106,R315+1),$H$2))))</x:f>
      </x:c>
      <x:c r="W315" s="188" t="str">
        <x:f>IF(R315="","",IF(U315=S315,1,MAX(0,MIN(1,(P315-S315)/(U315-S315)))))</x:f>
      </x:c>
    </x:row>
    <x:row r="316">
      <x:c r="A316" s="159" t="str">
        <x:f>IF(OR(A315="",A315&gt;=$D$2),"",A315+1)</x:f>
      </x:c>
      <x:c r="B316" s="162" t="str">
        <x:f>IF(A316="","",IFERROR(SUMPRODUCT(--('Project Plan'!$A$7:$A$206&lt;&gt;""),('Project Plan'!$P$7:$P$206+('Project Plan'!$P$7:$P$206="")),--('Project Plan'!$F$7:$F$206&lt;&gt;""),--('Project Plan'!$G$7:$G$206&lt;&gt;""),((A316&gt;='Project Plan'!$G$7:$G$206)+((A316&gt;='Project Plan'!$F$7:$F$206)*(A316&lt;'Project Plan'!$G$7:$G$206)*(A316-'Project Plan'!$F$7:$F$206+1)/('Project Plan'!$G$7:$G$206-'Project Plan'!$F$7:$F$206+1))))/SUMPRODUCT(--('Project Plan'!$A$7:$A$206&lt;&gt;""),('Project Plan'!$P$7:$P$206+('Project Plan'!$P$7:$P$206=""))),0))</x:f>
      </x:c>
      <x:c r="C316" s="162" t="str">
        <x:f>IF(A316="","",IF(A316&gt;$F$2,"",IF(A316=$F$2,$H$2,IFERROR(LOOKUP(2,1/(($G$7:$G$106&lt;&gt;"")*($G$7:$G$106&lt;=A316)),$H$7:$H$106),""))))</x:f>
      </x:c>
      <x:c r="D316" s="162" t="str">
        <x:f>IF(C316="","",C316-B316)</x:f>
      </x:c>
      <x:c r="E316" s="163" t="str">
        <x:f>IF(D316="","",IF(D316&gt;=0,"On / Ahead",IF(D316&gt;=-0.05,"Watch","Behind")))</x:f>
      </x:c>
      <x:c r="J316"/>
      <x:c r="K316"/>
      <x:c r="L316"/>
      <x:c r="M316" t="str">
        <x:f>IF(A316="","",TEXT(A316,"mmm d"))</x:f>
      </x:c>
      <x:c r="N316" s="14" t="e">
        <x:f>IF(B316="",NA(),B316)</x:f>
        <x:v>#N/A</x:v>
      </x:c>
      <x:c r="O316" s="14" t="e">
        <x:f>IF(OR(P316="",$B$2="",$F$2="",P316&lt;$B$2,P316&gt;$F$2),NA(),IF(Q316=0,IF($F$2=$B$2,$H$2,MAX(0,MIN(1,$H$2*(3*MAX(0,MIN(1,(P316-$B$2)/($F$2-$B$2)))^2-2*MAX(0,MIN(1,(P316-$B$2)/($F$2-$B$2)))^3)))),MAX(0,MIN(1,T316+(V316-T316)*(3*W316^2-2*W316^3)))))</x:f>
        <x:v>#N/A</x:v>
      </x:c>
      <x:c r="P316" s="189" t="str">
        <x:f>A316</x:f>
      </x:c>
      <x:c r="Q316" t="n">
        <x:f>COUNT($G$7:$G$106)</x:f>
        <x:v>0</x:v>
      </x:c>
      <x:c r="R316" t="str">
        <x:f>IF(OR(P316="",$B$2="",$F$2="",P316&lt;$B$2,P316&gt;$F$2),"",IF(Q316=0,0,IF(P316&lt;$G$7,0,IF(P316&gt;=INDEX($G$7:$G$106,Q316),Q316,MATCH(P316,$G$7:$G$106,1)))))</x:f>
      </x:c>
      <x:c r="S316" t="str">
        <x:f>IF(R316="","",IF(R316=0,$B$2,INDEX($G$7:$G$106,R316)))</x:f>
      </x:c>
      <x:c r="T316" s="14" t="str">
        <x:f>IF(R316="","",IF(R316=0,0,INDEX($H$7:$H$106,R316)))</x:f>
      </x:c>
      <x:c r="U316" t="str">
        <x:f>IF(R316="","",IF(Q316=0,$F$2,IF(R316=0,$G$7,IF(R316&lt;Q316,INDEX($G$7:$G$106,R316+1),$F$2))))</x:f>
      </x:c>
      <x:c r="V316" s="14" t="str">
        <x:f>IF(R316="","",IF(Q316=0,$H$2,IF(R316=0,$H$7,IF(R316&lt;Q316,INDEX($H$7:$H$106,R316+1),$H$2))))</x:f>
      </x:c>
      <x:c r="W316" s="188" t="str">
        <x:f>IF(R316="","",IF(U316=S316,1,MAX(0,MIN(1,(P316-S316)/(U316-S316)))))</x:f>
      </x:c>
    </x:row>
    <x:row r="317">
      <x:c r="A317" s="159" t="str">
        <x:f>IF(OR(A316="",A316&gt;=$D$2),"",A316+1)</x:f>
      </x:c>
      <x:c r="B317" s="162" t="str">
        <x:f>IF(A317="","",IFERROR(SUMPRODUCT(--('Project Plan'!$A$7:$A$206&lt;&gt;""),('Project Plan'!$P$7:$P$206+('Project Plan'!$P$7:$P$206="")),--('Project Plan'!$F$7:$F$206&lt;&gt;""),--('Project Plan'!$G$7:$G$206&lt;&gt;""),((A317&gt;='Project Plan'!$G$7:$G$206)+((A317&gt;='Project Plan'!$F$7:$F$206)*(A317&lt;'Project Plan'!$G$7:$G$206)*(A317-'Project Plan'!$F$7:$F$206+1)/('Project Plan'!$G$7:$G$206-'Project Plan'!$F$7:$F$206+1))))/SUMPRODUCT(--('Project Plan'!$A$7:$A$206&lt;&gt;""),('Project Plan'!$P$7:$P$206+('Project Plan'!$P$7:$P$206=""))),0))</x:f>
      </x:c>
      <x:c r="C317" s="162" t="str">
        <x:f>IF(A317="","",IF(A317&gt;$F$2,"",IF(A317=$F$2,$H$2,IFERROR(LOOKUP(2,1/(($G$7:$G$106&lt;&gt;"")*($G$7:$G$106&lt;=A317)),$H$7:$H$106),""))))</x:f>
      </x:c>
      <x:c r="D317" s="162" t="str">
        <x:f>IF(C317="","",C317-B317)</x:f>
      </x:c>
      <x:c r="E317" s="163" t="str">
        <x:f>IF(D317="","",IF(D317&gt;=0,"On / Ahead",IF(D317&gt;=-0.05,"Watch","Behind")))</x:f>
      </x:c>
      <x:c r="J317"/>
      <x:c r="K317"/>
      <x:c r="L317"/>
      <x:c r="M317" t="str">
        <x:f>IF(A317="","",TEXT(A317,"mmm d"))</x:f>
      </x:c>
      <x:c r="N317" s="14" t="e">
        <x:f>IF(B317="",NA(),B317)</x:f>
        <x:v>#N/A</x:v>
      </x:c>
      <x:c r="O317" s="14" t="e">
        <x:f>IF(OR(P317="",$B$2="",$F$2="",P317&lt;$B$2,P317&gt;$F$2),NA(),IF(Q317=0,IF($F$2=$B$2,$H$2,MAX(0,MIN(1,$H$2*(3*MAX(0,MIN(1,(P317-$B$2)/($F$2-$B$2)))^2-2*MAX(0,MIN(1,(P317-$B$2)/($F$2-$B$2)))^3)))),MAX(0,MIN(1,T317+(V317-T317)*(3*W317^2-2*W317^3)))))</x:f>
        <x:v>#N/A</x:v>
      </x:c>
      <x:c r="P317" s="189" t="str">
        <x:f>A317</x:f>
      </x:c>
      <x:c r="Q317" t="n">
        <x:f>COUNT($G$7:$G$106)</x:f>
        <x:v>0</x:v>
      </x:c>
      <x:c r="R317" t="str">
        <x:f>IF(OR(P317="",$B$2="",$F$2="",P317&lt;$B$2,P317&gt;$F$2),"",IF(Q317=0,0,IF(P317&lt;$G$7,0,IF(P317&gt;=INDEX($G$7:$G$106,Q317),Q317,MATCH(P317,$G$7:$G$106,1)))))</x:f>
      </x:c>
      <x:c r="S317" t="str">
        <x:f>IF(R317="","",IF(R317=0,$B$2,INDEX($G$7:$G$106,R317)))</x:f>
      </x:c>
      <x:c r="T317" s="14" t="str">
        <x:f>IF(R317="","",IF(R317=0,0,INDEX($H$7:$H$106,R317)))</x:f>
      </x:c>
      <x:c r="U317" t="str">
        <x:f>IF(R317="","",IF(Q317=0,$F$2,IF(R317=0,$G$7,IF(R317&lt;Q317,INDEX($G$7:$G$106,R317+1),$F$2))))</x:f>
      </x:c>
      <x:c r="V317" s="14" t="str">
        <x:f>IF(R317="","",IF(Q317=0,$H$2,IF(R317=0,$H$7,IF(R317&lt;Q317,INDEX($H$7:$H$106,R317+1),$H$2))))</x:f>
      </x:c>
      <x:c r="W317" s="188" t="str">
        <x:f>IF(R317="","",IF(U317=S317,1,MAX(0,MIN(1,(P317-S317)/(U317-S317)))))</x:f>
      </x:c>
    </x:row>
    <x:row r="318">
      <x:c r="A318" s="159" t="str">
        <x:f>IF(OR(A317="",A317&gt;=$D$2),"",A317+1)</x:f>
      </x:c>
      <x:c r="B318" s="162" t="str">
        <x:f>IF(A318="","",IFERROR(SUMPRODUCT(--('Project Plan'!$A$7:$A$206&lt;&gt;""),('Project Plan'!$P$7:$P$206+('Project Plan'!$P$7:$P$206="")),--('Project Plan'!$F$7:$F$206&lt;&gt;""),--('Project Plan'!$G$7:$G$206&lt;&gt;""),((A318&gt;='Project Plan'!$G$7:$G$206)+((A318&gt;='Project Plan'!$F$7:$F$206)*(A318&lt;'Project Plan'!$G$7:$G$206)*(A318-'Project Plan'!$F$7:$F$206+1)/('Project Plan'!$G$7:$G$206-'Project Plan'!$F$7:$F$206+1))))/SUMPRODUCT(--('Project Plan'!$A$7:$A$206&lt;&gt;""),('Project Plan'!$P$7:$P$206+('Project Plan'!$P$7:$P$206=""))),0))</x:f>
      </x:c>
      <x:c r="C318" s="162" t="str">
        <x:f>IF(A318="","",IF(A318&gt;$F$2,"",IF(A318=$F$2,$H$2,IFERROR(LOOKUP(2,1/(($G$7:$G$106&lt;&gt;"")*($G$7:$G$106&lt;=A318)),$H$7:$H$106),""))))</x:f>
      </x:c>
      <x:c r="D318" s="162" t="str">
        <x:f>IF(C318="","",C318-B318)</x:f>
      </x:c>
      <x:c r="E318" s="163" t="str">
        <x:f>IF(D318="","",IF(D318&gt;=0,"On / Ahead",IF(D318&gt;=-0.05,"Watch","Behind")))</x:f>
      </x:c>
      <x:c r="J318"/>
      <x:c r="K318"/>
      <x:c r="L318"/>
      <x:c r="M318" t="str">
        <x:f>IF(A318="","",TEXT(A318,"mmm d"))</x:f>
      </x:c>
      <x:c r="N318" s="14" t="e">
        <x:f>IF(B318="",NA(),B318)</x:f>
        <x:v>#N/A</x:v>
      </x:c>
      <x:c r="O318" s="14" t="e">
        <x:f>IF(OR(P318="",$B$2="",$F$2="",P318&lt;$B$2,P318&gt;$F$2),NA(),IF(Q318=0,IF($F$2=$B$2,$H$2,MAX(0,MIN(1,$H$2*(3*MAX(0,MIN(1,(P318-$B$2)/($F$2-$B$2)))^2-2*MAX(0,MIN(1,(P318-$B$2)/($F$2-$B$2)))^3)))),MAX(0,MIN(1,T318+(V318-T318)*(3*W318^2-2*W318^3)))))</x:f>
        <x:v>#N/A</x:v>
      </x:c>
      <x:c r="P318" s="189" t="str">
        <x:f>A318</x:f>
      </x:c>
      <x:c r="Q318" t="n">
        <x:f>COUNT($G$7:$G$106)</x:f>
        <x:v>0</x:v>
      </x:c>
      <x:c r="R318" t="str">
        <x:f>IF(OR(P318="",$B$2="",$F$2="",P318&lt;$B$2,P318&gt;$F$2),"",IF(Q318=0,0,IF(P318&lt;$G$7,0,IF(P318&gt;=INDEX($G$7:$G$106,Q318),Q318,MATCH(P318,$G$7:$G$106,1)))))</x:f>
      </x:c>
      <x:c r="S318" t="str">
        <x:f>IF(R318="","",IF(R318=0,$B$2,INDEX($G$7:$G$106,R318)))</x:f>
      </x:c>
      <x:c r="T318" s="14" t="str">
        <x:f>IF(R318="","",IF(R318=0,0,INDEX($H$7:$H$106,R318)))</x:f>
      </x:c>
      <x:c r="U318" t="str">
        <x:f>IF(R318="","",IF(Q318=0,$F$2,IF(R318=0,$G$7,IF(R318&lt;Q318,INDEX($G$7:$G$106,R318+1),$F$2))))</x:f>
      </x:c>
      <x:c r="V318" s="14" t="str">
        <x:f>IF(R318="","",IF(Q318=0,$H$2,IF(R318=0,$H$7,IF(R318&lt;Q318,INDEX($H$7:$H$106,R318+1),$H$2))))</x:f>
      </x:c>
      <x:c r="W318" s="188" t="str">
        <x:f>IF(R318="","",IF(U318=S318,1,MAX(0,MIN(1,(P318-S318)/(U318-S318)))))</x:f>
      </x:c>
    </x:row>
    <x:row r="319">
      <x:c r="A319" s="159" t="str">
        <x:f>IF(OR(A318="",A318&gt;=$D$2),"",A318+1)</x:f>
      </x:c>
      <x:c r="B319" s="162" t="str">
        <x:f>IF(A319="","",IFERROR(SUMPRODUCT(--('Project Plan'!$A$7:$A$206&lt;&gt;""),('Project Plan'!$P$7:$P$206+('Project Plan'!$P$7:$P$206="")),--('Project Plan'!$F$7:$F$206&lt;&gt;""),--('Project Plan'!$G$7:$G$206&lt;&gt;""),((A319&gt;='Project Plan'!$G$7:$G$206)+((A319&gt;='Project Plan'!$F$7:$F$206)*(A319&lt;'Project Plan'!$G$7:$G$206)*(A319-'Project Plan'!$F$7:$F$206+1)/('Project Plan'!$G$7:$G$206-'Project Plan'!$F$7:$F$206+1))))/SUMPRODUCT(--('Project Plan'!$A$7:$A$206&lt;&gt;""),('Project Plan'!$P$7:$P$206+('Project Plan'!$P$7:$P$206=""))),0))</x:f>
      </x:c>
      <x:c r="C319" s="162" t="str">
        <x:f>IF(A319="","",IF(A319&gt;$F$2,"",IF(A319=$F$2,$H$2,IFERROR(LOOKUP(2,1/(($G$7:$G$106&lt;&gt;"")*($G$7:$G$106&lt;=A319)),$H$7:$H$106),""))))</x:f>
      </x:c>
      <x:c r="D319" s="162" t="str">
        <x:f>IF(C319="","",C319-B319)</x:f>
      </x:c>
      <x:c r="E319" s="163" t="str">
        <x:f>IF(D319="","",IF(D319&gt;=0,"On / Ahead",IF(D319&gt;=-0.05,"Watch","Behind")))</x:f>
      </x:c>
      <x:c r="J319"/>
      <x:c r="K319"/>
      <x:c r="L319"/>
      <x:c r="M319" t="str">
        <x:f>IF(A319="","",TEXT(A319,"mmm d"))</x:f>
      </x:c>
      <x:c r="N319" s="14" t="e">
        <x:f>IF(B319="",NA(),B319)</x:f>
        <x:v>#N/A</x:v>
      </x:c>
      <x:c r="O319" s="14" t="e">
        <x:f>IF(OR(P319="",$B$2="",$F$2="",P319&lt;$B$2,P319&gt;$F$2),NA(),IF(Q319=0,IF($F$2=$B$2,$H$2,MAX(0,MIN(1,$H$2*(3*MAX(0,MIN(1,(P319-$B$2)/($F$2-$B$2)))^2-2*MAX(0,MIN(1,(P319-$B$2)/($F$2-$B$2)))^3)))),MAX(0,MIN(1,T319+(V319-T319)*(3*W319^2-2*W319^3)))))</x:f>
        <x:v>#N/A</x:v>
      </x:c>
      <x:c r="P319" s="189" t="str">
        <x:f>A319</x:f>
      </x:c>
      <x:c r="Q319" t="n">
        <x:f>COUNT($G$7:$G$106)</x:f>
        <x:v>0</x:v>
      </x:c>
      <x:c r="R319" t="str">
        <x:f>IF(OR(P319="",$B$2="",$F$2="",P319&lt;$B$2,P319&gt;$F$2),"",IF(Q319=0,0,IF(P319&lt;$G$7,0,IF(P319&gt;=INDEX($G$7:$G$106,Q319),Q319,MATCH(P319,$G$7:$G$106,1)))))</x:f>
      </x:c>
      <x:c r="S319" t="str">
        <x:f>IF(R319="","",IF(R319=0,$B$2,INDEX($G$7:$G$106,R319)))</x:f>
      </x:c>
      <x:c r="T319" s="14" t="str">
        <x:f>IF(R319="","",IF(R319=0,0,INDEX($H$7:$H$106,R319)))</x:f>
      </x:c>
      <x:c r="U319" t="str">
        <x:f>IF(R319="","",IF(Q319=0,$F$2,IF(R319=0,$G$7,IF(R319&lt;Q319,INDEX($G$7:$G$106,R319+1),$F$2))))</x:f>
      </x:c>
      <x:c r="V319" s="14" t="str">
        <x:f>IF(R319="","",IF(Q319=0,$H$2,IF(R319=0,$H$7,IF(R319&lt;Q319,INDEX($H$7:$H$106,R319+1),$H$2))))</x:f>
      </x:c>
      <x:c r="W319" s="188" t="str">
        <x:f>IF(R319="","",IF(U319=S319,1,MAX(0,MIN(1,(P319-S319)/(U319-S319)))))</x:f>
      </x:c>
    </x:row>
    <x:row r="320">
      <x:c r="A320" s="159" t="str">
        <x:f>IF(OR(A319="",A319&gt;=$D$2),"",A319+1)</x:f>
      </x:c>
      <x:c r="B320" s="162" t="str">
        <x:f>IF(A320="","",IFERROR(SUMPRODUCT(--('Project Plan'!$A$7:$A$206&lt;&gt;""),('Project Plan'!$P$7:$P$206+('Project Plan'!$P$7:$P$206="")),--('Project Plan'!$F$7:$F$206&lt;&gt;""),--('Project Plan'!$G$7:$G$206&lt;&gt;""),((A320&gt;='Project Plan'!$G$7:$G$206)+((A320&gt;='Project Plan'!$F$7:$F$206)*(A320&lt;'Project Plan'!$G$7:$G$206)*(A320-'Project Plan'!$F$7:$F$206+1)/('Project Plan'!$G$7:$G$206-'Project Plan'!$F$7:$F$206+1))))/SUMPRODUCT(--('Project Plan'!$A$7:$A$206&lt;&gt;""),('Project Plan'!$P$7:$P$206+('Project Plan'!$P$7:$P$206=""))),0))</x:f>
      </x:c>
      <x:c r="C320" s="162" t="str">
        <x:f>IF(A320="","",IF(A320&gt;$F$2,"",IF(A320=$F$2,$H$2,IFERROR(LOOKUP(2,1/(($G$7:$G$106&lt;&gt;"")*($G$7:$G$106&lt;=A320)),$H$7:$H$106),""))))</x:f>
      </x:c>
      <x:c r="D320" s="162" t="str">
        <x:f>IF(C320="","",C320-B320)</x:f>
      </x:c>
      <x:c r="E320" s="163" t="str">
        <x:f>IF(D320="","",IF(D320&gt;=0,"On / Ahead",IF(D320&gt;=-0.05,"Watch","Behind")))</x:f>
      </x:c>
      <x:c r="J320"/>
      <x:c r="K320"/>
      <x:c r="L320"/>
      <x:c r="M320" t="str">
        <x:f>IF(A320="","",TEXT(A320,"mmm d"))</x:f>
      </x:c>
      <x:c r="N320" s="14" t="e">
        <x:f>IF(B320="",NA(),B320)</x:f>
        <x:v>#N/A</x:v>
      </x:c>
      <x:c r="O320" s="14" t="e">
        <x:f>IF(OR(P320="",$B$2="",$F$2="",P320&lt;$B$2,P320&gt;$F$2),NA(),IF(Q320=0,IF($F$2=$B$2,$H$2,MAX(0,MIN(1,$H$2*(3*MAX(0,MIN(1,(P320-$B$2)/($F$2-$B$2)))^2-2*MAX(0,MIN(1,(P320-$B$2)/($F$2-$B$2)))^3)))),MAX(0,MIN(1,T320+(V320-T320)*(3*W320^2-2*W320^3)))))</x:f>
        <x:v>#N/A</x:v>
      </x:c>
      <x:c r="P320" s="189" t="str">
        <x:f>A320</x:f>
      </x:c>
      <x:c r="Q320" t="n">
        <x:f>COUNT($G$7:$G$106)</x:f>
        <x:v>0</x:v>
      </x:c>
      <x:c r="R320" t="str">
        <x:f>IF(OR(P320="",$B$2="",$F$2="",P320&lt;$B$2,P320&gt;$F$2),"",IF(Q320=0,0,IF(P320&lt;$G$7,0,IF(P320&gt;=INDEX($G$7:$G$106,Q320),Q320,MATCH(P320,$G$7:$G$106,1)))))</x:f>
      </x:c>
      <x:c r="S320" t="str">
        <x:f>IF(R320="","",IF(R320=0,$B$2,INDEX($G$7:$G$106,R320)))</x:f>
      </x:c>
      <x:c r="T320" s="14" t="str">
        <x:f>IF(R320="","",IF(R320=0,0,INDEX($H$7:$H$106,R320)))</x:f>
      </x:c>
      <x:c r="U320" t="str">
        <x:f>IF(R320="","",IF(Q320=0,$F$2,IF(R320=0,$G$7,IF(R320&lt;Q320,INDEX($G$7:$G$106,R320+1),$F$2))))</x:f>
      </x:c>
      <x:c r="V320" s="14" t="str">
        <x:f>IF(R320="","",IF(Q320=0,$H$2,IF(R320=0,$H$7,IF(R320&lt;Q320,INDEX($H$7:$H$106,R320+1),$H$2))))</x:f>
      </x:c>
      <x:c r="W320" s="188" t="str">
        <x:f>IF(R320="","",IF(U320=S320,1,MAX(0,MIN(1,(P320-S320)/(U320-S320)))))</x:f>
      </x:c>
    </x:row>
    <x:row r="321">
      <x:c r="A321" s="159" t="str">
        <x:f>IF(OR(A320="",A320&gt;=$D$2),"",A320+1)</x:f>
      </x:c>
      <x:c r="B321" s="162" t="str">
        <x:f>IF(A321="","",IFERROR(SUMPRODUCT(--('Project Plan'!$A$7:$A$206&lt;&gt;""),('Project Plan'!$P$7:$P$206+('Project Plan'!$P$7:$P$206="")),--('Project Plan'!$F$7:$F$206&lt;&gt;""),--('Project Plan'!$G$7:$G$206&lt;&gt;""),((A321&gt;='Project Plan'!$G$7:$G$206)+((A321&gt;='Project Plan'!$F$7:$F$206)*(A321&lt;'Project Plan'!$G$7:$G$206)*(A321-'Project Plan'!$F$7:$F$206+1)/('Project Plan'!$G$7:$G$206-'Project Plan'!$F$7:$F$206+1))))/SUMPRODUCT(--('Project Plan'!$A$7:$A$206&lt;&gt;""),('Project Plan'!$P$7:$P$206+('Project Plan'!$P$7:$P$206=""))),0))</x:f>
      </x:c>
      <x:c r="C321" s="162" t="str">
        <x:f>IF(A321="","",IF(A321&gt;$F$2,"",IF(A321=$F$2,$H$2,IFERROR(LOOKUP(2,1/(($G$7:$G$106&lt;&gt;"")*($G$7:$G$106&lt;=A321)),$H$7:$H$106),""))))</x:f>
      </x:c>
      <x:c r="D321" s="162" t="str">
        <x:f>IF(C321="","",C321-B321)</x:f>
      </x:c>
      <x:c r="E321" s="163" t="str">
        <x:f>IF(D321="","",IF(D321&gt;=0,"On / Ahead",IF(D321&gt;=-0.05,"Watch","Behind")))</x:f>
      </x:c>
      <x:c r="J321"/>
      <x:c r="K321"/>
      <x:c r="L321"/>
      <x:c r="M321" t="str">
        <x:f>IF(A321="","",TEXT(A321,"mmm d"))</x:f>
      </x:c>
      <x:c r="N321" s="14" t="e">
        <x:f>IF(B321="",NA(),B321)</x:f>
        <x:v>#N/A</x:v>
      </x:c>
      <x:c r="O321" s="14" t="e">
        <x:f>IF(OR(P321="",$B$2="",$F$2="",P321&lt;$B$2,P321&gt;$F$2),NA(),IF(Q321=0,IF($F$2=$B$2,$H$2,MAX(0,MIN(1,$H$2*(3*MAX(0,MIN(1,(P321-$B$2)/($F$2-$B$2)))^2-2*MAX(0,MIN(1,(P321-$B$2)/($F$2-$B$2)))^3)))),MAX(0,MIN(1,T321+(V321-T321)*(3*W321^2-2*W321^3)))))</x:f>
        <x:v>#N/A</x:v>
      </x:c>
      <x:c r="P321" s="189" t="str">
        <x:f>A321</x:f>
      </x:c>
      <x:c r="Q321" t="n">
        <x:f>COUNT($G$7:$G$106)</x:f>
        <x:v>0</x:v>
      </x:c>
      <x:c r="R321" t="str">
        <x:f>IF(OR(P321="",$B$2="",$F$2="",P321&lt;$B$2,P321&gt;$F$2),"",IF(Q321=0,0,IF(P321&lt;$G$7,0,IF(P321&gt;=INDEX($G$7:$G$106,Q321),Q321,MATCH(P321,$G$7:$G$106,1)))))</x:f>
      </x:c>
      <x:c r="S321" t="str">
        <x:f>IF(R321="","",IF(R321=0,$B$2,INDEX($G$7:$G$106,R321)))</x:f>
      </x:c>
      <x:c r="T321" s="14" t="str">
        <x:f>IF(R321="","",IF(R321=0,0,INDEX($H$7:$H$106,R321)))</x:f>
      </x:c>
      <x:c r="U321" t="str">
        <x:f>IF(R321="","",IF(Q321=0,$F$2,IF(R321=0,$G$7,IF(R321&lt;Q321,INDEX($G$7:$G$106,R321+1),$F$2))))</x:f>
      </x:c>
      <x:c r="V321" s="14" t="str">
        <x:f>IF(R321="","",IF(Q321=0,$H$2,IF(R321=0,$H$7,IF(R321&lt;Q321,INDEX($H$7:$H$106,R321+1),$H$2))))</x:f>
      </x:c>
      <x:c r="W321" s="188" t="str">
        <x:f>IF(R321="","",IF(U321=S321,1,MAX(0,MIN(1,(P321-S321)/(U321-S321)))))</x:f>
      </x:c>
    </x:row>
    <x:row r="322">
      <x:c r="A322" s="159" t="str">
        <x:f>IF(OR(A321="",A321&gt;=$D$2),"",A321+1)</x:f>
      </x:c>
      <x:c r="B322" s="162" t="str">
        <x:f>IF(A322="","",IFERROR(SUMPRODUCT(--('Project Plan'!$A$7:$A$206&lt;&gt;""),('Project Plan'!$P$7:$P$206+('Project Plan'!$P$7:$P$206="")),--('Project Plan'!$F$7:$F$206&lt;&gt;""),--('Project Plan'!$G$7:$G$206&lt;&gt;""),((A322&gt;='Project Plan'!$G$7:$G$206)+((A322&gt;='Project Plan'!$F$7:$F$206)*(A322&lt;'Project Plan'!$G$7:$G$206)*(A322-'Project Plan'!$F$7:$F$206+1)/('Project Plan'!$G$7:$G$206-'Project Plan'!$F$7:$F$206+1))))/SUMPRODUCT(--('Project Plan'!$A$7:$A$206&lt;&gt;""),('Project Plan'!$P$7:$P$206+('Project Plan'!$P$7:$P$206=""))),0))</x:f>
      </x:c>
      <x:c r="C322" s="162" t="str">
        <x:f>IF(A322="","",IF(A322&gt;$F$2,"",IF(A322=$F$2,$H$2,IFERROR(LOOKUP(2,1/(($G$7:$G$106&lt;&gt;"")*($G$7:$G$106&lt;=A322)),$H$7:$H$106),""))))</x:f>
      </x:c>
      <x:c r="D322" s="162" t="str">
        <x:f>IF(C322="","",C322-B322)</x:f>
      </x:c>
      <x:c r="E322" s="163" t="str">
        <x:f>IF(D322="","",IF(D322&gt;=0,"On / Ahead",IF(D322&gt;=-0.05,"Watch","Behind")))</x:f>
      </x:c>
      <x:c r="J322"/>
      <x:c r="K322"/>
      <x:c r="L322"/>
      <x:c r="M322" t="str">
        <x:f>IF(A322="","",TEXT(A322,"mmm d"))</x:f>
      </x:c>
      <x:c r="N322" s="14" t="e">
        <x:f>IF(B322="",NA(),B322)</x:f>
        <x:v>#N/A</x:v>
      </x:c>
      <x:c r="O322" s="14" t="e">
        <x:f>IF(OR(P322="",$B$2="",$F$2="",P322&lt;$B$2,P322&gt;$F$2),NA(),IF(Q322=0,IF($F$2=$B$2,$H$2,MAX(0,MIN(1,$H$2*(3*MAX(0,MIN(1,(P322-$B$2)/($F$2-$B$2)))^2-2*MAX(0,MIN(1,(P322-$B$2)/($F$2-$B$2)))^3)))),MAX(0,MIN(1,T322+(V322-T322)*(3*W322^2-2*W322^3)))))</x:f>
        <x:v>#N/A</x:v>
      </x:c>
      <x:c r="P322" s="189" t="str">
        <x:f>A322</x:f>
      </x:c>
      <x:c r="Q322" t="n">
        <x:f>COUNT($G$7:$G$106)</x:f>
        <x:v>0</x:v>
      </x:c>
      <x:c r="R322" t="str">
        <x:f>IF(OR(P322="",$B$2="",$F$2="",P322&lt;$B$2,P322&gt;$F$2),"",IF(Q322=0,0,IF(P322&lt;$G$7,0,IF(P322&gt;=INDEX($G$7:$G$106,Q322),Q322,MATCH(P322,$G$7:$G$106,1)))))</x:f>
      </x:c>
      <x:c r="S322" t="str">
        <x:f>IF(R322="","",IF(R322=0,$B$2,INDEX($G$7:$G$106,R322)))</x:f>
      </x:c>
      <x:c r="T322" s="14" t="str">
        <x:f>IF(R322="","",IF(R322=0,0,INDEX($H$7:$H$106,R322)))</x:f>
      </x:c>
      <x:c r="U322" t="str">
        <x:f>IF(R322="","",IF(Q322=0,$F$2,IF(R322=0,$G$7,IF(R322&lt;Q322,INDEX($G$7:$G$106,R322+1),$F$2))))</x:f>
      </x:c>
      <x:c r="V322" s="14" t="str">
        <x:f>IF(R322="","",IF(Q322=0,$H$2,IF(R322=0,$H$7,IF(R322&lt;Q322,INDEX($H$7:$H$106,R322+1),$H$2))))</x:f>
      </x:c>
      <x:c r="W322" s="188" t="str">
        <x:f>IF(R322="","",IF(U322=S322,1,MAX(0,MIN(1,(P322-S322)/(U322-S322)))))</x:f>
      </x:c>
    </x:row>
    <x:row r="323">
      <x:c r="A323" s="159" t="str">
        <x:f>IF(OR(A322="",A322&gt;=$D$2),"",A322+1)</x:f>
      </x:c>
      <x:c r="B323" s="162" t="str">
        <x:f>IF(A323="","",IFERROR(SUMPRODUCT(--('Project Plan'!$A$7:$A$206&lt;&gt;""),('Project Plan'!$P$7:$P$206+('Project Plan'!$P$7:$P$206="")),--('Project Plan'!$F$7:$F$206&lt;&gt;""),--('Project Plan'!$G$7:$G$206&lt;&gt;""),((A323&gt;='Project Plan'!$G$7:$G$206)+((A323&gt;='Project Plan'!$F$7:$F$206)*(A323&lt;'Project Plan'!$G$7:$G$206)*(A323-'Project Plan'!$F$7:$F$206+1)/('Project Plan'!$G$7:$G$206-'Project Plan'!$F$7:$F$206+1))))/SUMPRODUCT(--('Project Plan'!$A$7:$A$206&lt;&gt;""),('Project Plan'!$P$7:$P$206+('Project Plan'!$P$7:$P$206=""))),0))</x:f>
      </x:c>
      <x:c r="C323" s="162" t="str">
        <x:f>IF(A323="","",IF(A323&gt;$F$2,"",IF(A323=$F$2,$H$2,IFERROR(LOOKUP(2,1/(($G$7:$G$106&lt;&gt;"")*($G$7:$G$106&lt;=A323)),$H$7:$H$106),""))))</x:f>
      </x:c>
      <x:c r="D323" s="162" t="str">
        <x:f>IF(C323="","",C323-B323)</x:f>
      </x:c>
      <x:c r="E323" s="163" t="str">
        <x:f>IF(D323="","",IF(D323&gt;=0,"On / Ahead",IF(D323&gt;=-0.05,"Watch","Behind")))</x:f>
      </x:c>
      <x:c r="J323"/>
      <x:c r="K323"/>
      <x:c r="L323"/>
      <x:c r="M323" t="str">
        <x:f>IF(A323="","",TEXT(A323,"mmm d"))</x:f>
      </x:c>
      <x:c r="N323" s="14" t="e">
        <x:f>IF(B323="",NA(),B323)</x:f>
        <x:v>#N/A</x:v>
      </x:c>
      <x:c r="O323" s="14" t="e">
        <x:f>IF(OR(P323="",$B$2="",$F$2="",P323&lt;$B$2,P323&gt;$F$2),NA(),IF(Q323=0,IF($F$2=$B$2,$H$2,MAX(0,MIN(1,$H$2*(3*MAX(0,MIN(1,(P323-$B$2)/($F$2-$B$2)))^2-2*MAX(0,MIN(1,(P323-$B$2)/($F$2-$B$2)))^3)))),MAX(0,MIN(1,T323+(V323-T323)*(3*W323^2-2*W323^3)))))</x:f>
        <x:v>#N/A</x:v>
      </x:c>
      <x:c r="P323" s="189" t="str">
        <x:f>A323</x:f>
      </x:c>
      <x:c r="Q323" t="n">
        <x:f>COUNT($G$7:$G$106)</x:f>
        <x:v>0</x:v>
      </x:c>
      <x:c r="R323" t="str">
        <x:f>IF(OR(P323="",$B$2="",$F$2="",P323&lt;$B$2,P323&gt;$F$2),"",IF(Q323=0,0,IF(P323&lt;$G$7,0,IF(P323&gt;=INDEX($G$7:$G$106,Q323),Q323,MATCH(P323,$G$7:$G$106,1)))))</x:f>
      </x:c>
      <x:c r="S323" t="str">
        <x:f>IF(R323="","",IF(R323=0,$B$2,INDEX($G$7:$G$106,R323)))</x:f>
      </x:c>
      <x:c r="T323" s="14" t="str">
        <x:f>IF(R323="","",IF(R323=0,0,INDEX($H$7:$H$106,R323)))</x:f>
      </x:c>
      <x:c r="U323" t="str">
        <x:f>IF(R323="","",IF(Q323=0,$F$2,IF(R323=0,$G$7,IF(R323&lt;Q323,INDEX($G$7:$G$106,R323+1),$F$2))))</x:f>
      </x:c>
      <x:c r="V323" s="14" t="str">
        <x:f>IF(R323="","",IF(Q323=0,$H$2,IF(R323=0,$H$7,IF(R323&lt;Q323,INDEX($H$7:$H$106,R323+1),$H$2))))</x:f>
      </x:c>
      <x:c r="W323" s="188" t="str">
        <x:f>IF(R323="","",IF(U323=S323,1,MAX(0,MIN(1,(P323-S323)/(U323-S323)))))</x:f>
      </x:c>
    </x:row>
    <x:row r="324">
      <x:c r="A324" s="159" t="str">
        <x:f>IF(OR(A323="",A323&gt;=$D$2),"",A323+1)</x:f>
      </x:c>
      <x:c r="B324" s="162" t="str">
        <x:f>IF(A324="","",IFERROR(SUMPRODUCT(--('Project Plan'!$A$7:$A$206&lt;&gt;""),('Project Plan'!$P$7:$P$206+('Project Plan'!$P$7:$P$206="")),--('Project Plan'!$F$7:$F$206&lt;&gt;""),--('Project Plan'!$G$7:$G$206&lt;&gt;""),((A324&gt;='Project Plan'!$G$7:$G$206)+((A324&gt;='Project Plan'!$F$7:$F$206)*(A324&lt;'Project Plan'!$G$7:$G$206)*(A324-'Project Plan'!$F$7:$F$206+1)/('Project Plan'!$G$7:$G$206-'Project Plan'!$F$7:$F$206+1))))/SUMPRODUCT(--('Project Plan'!$A$7:$A$206&lt;&gt;""),('Project Plan'!$P$7:$P$206+('Project Plan'!$P$7:$P$206=""))),0))</x:f>
      </x:c>
      <x:c r="C324" s="162" t="str">
        <x:f>IF(A324="","",IF(A324&gt;$F$2,"",IF(A324=$F$2,$H$2,IFERROR(LOOKUP(2,1/(($G$7:$G$106&lt;&gt;"")*($G$7:$G$106&lt;=A324)),$H$7:$H$106),""))))</x:f>
      </x:c>
      <x:c r="D324" s="162" t="str">
        <x:f>IF(C324="","",C324-B324)</x:f>
      </x:c>
      <x:c r="E324" s="163" t="str">
        <x:f>IF(D324="","",IF(D324&gt;=0,"On / Ahead",IF(D324&gt;=-0.05,"Watch","Behind")))</x:f>
      </x:c>
      <x:c r="J324"/>
      <x:c r="K324"/>
      <x:c r="L324"/>
      <x:c r="M324" t="str">
        <x:f>IF(A324="","",TEXT(A324,"mmm d"))</x:f>
      </x:c>
      <x:c r="N324" s="14" t="e">
        <x:f>IF(B324="",NA(),B324)</x:f>
        <x:v>#N/A</x:v>
      </x:c>
      <x:c r="O324" s="14" t="e">
        <x:f>IF(OR(P324="",$B$2="",$F$2="",P324&lt;$B$2,P324&gt;$F$2),NA(),IF(Q324=0,IF($F$2=$B$2,$H$2,MAX(0,MIN(1,$H$2*(3*MAX(0,MIN(1,(P324-$B$2)/($F$2-$B$2)))^2-2*MAX(0,MIN(1,(P324-$B$2)/($F$2-$B$2)))^3)))),MAX(0,MIN(1,T324+(V324-T324)*(3*W324^2-2*W324^3)))))</x:f>
        <x:v>#N/A</x:v>
      </x:c>
      <x:c r="P324" s="189" t="str">
        <x:f>A324</x:f>
      </x:c>
      <x:c r="Q324" t="n">
        <x:f>COUNT($G$7:$G$106)</x:f>
        <x:v>0</x:v>
      </x:c>
      <x:c r="R324" t="str">
        <x:f>IF(OR(P324="",$B$2="",$F$2="",P324&lt;$B$2,P324&gt;$F$2),"",IF(Q324=0,0,IF(P324&lt;$G$7,0,IF(P324&gt;=INDEX($G$7:$G$106,Q324),Q324,MATCH(P324,$G$7:$G$106,1)))))</x:f>
      </x:c>
      <x:c r="S324" t="str">
        <x:f>IF(R324="","",IF(R324=0,$B$2,INDEX($G$7:$G$106,R324)))</x:f>
      </x:c>
      <x:c r="T324" s="14" t="str">
        <x:f>IF(R324="","",IF(R324=0,0,INDEX($H$7:$H$106,R324)))</x:f>
      </x:c>
      <x:c r="U324" t="str">
        <x:f>IF(R324="","",IF(Q324=0,$F$2,IF(R324=0,$G$7,IF(R324&lt;Q324,INDEX($G$7:$G$106,R324+1),$F$2))))</x:f>
      </x:c>
      <x:c r="V324" s="14" t="str">
        <x:f>IF(R324="","",IF(Q324=0,$H$2,IF(R324=0,$H$7,IF(R324&lt;Q324,INDEX($H$7:$H$106,R324+1),$H$2))))</x:f>
      </x:c>
      <x:c r="W324" s="188" t="str">
        <x:f>IF(R324="","",IF(U324=S324,1,MAX(0,MIN(1,(P324-S324)/(U324-S324)))))</x:f>
      </x:c>
    </x:row>
    <x:row r="325">
      <x:c r="A325" s="159" t="str">
        <x:f>IF(OR(A324="",A324&gt;=$D$2),"",A324+1)</x:f>
      </x:c>
      <x:c r="B325" s="162" t="str">
        <x:f>IF(A325="","",IFERROR(SUMPRODUCT(--('Project Plan'!$A$7:$A$206&lt;&gt;""),('Project Plan'!$P$7:$P$206+('Project Plan'!$P$7:$P$206="")),--('Project Plan'!$F$7:$F$206&lt;&gt;""),--('Project Plan'!$G$7:$G$206&lt;&gt;""),((A325&gt;='Project Plan'!$G$7:$G$206)+((A325&gt;='Project Plan'!$F$7:$F$206)*(A325&lt;'Project Plan'!$G$7:$G$206)*(A325-'Project Plan'!$F$7:$F$206+1)/('Project Plan'!$G$7:$G$206-'Project Plan'!$F$7:$F$206+1))))/SUMPRODUCT(--('Project Plan'!$A$7:$A$206&lt;&gt;""),('Project Plan'!$P$7:$P$206+('Project Plan'!$P$7:$P$206=""))),0))</x:f>
      </x:c>
      <x:c r="C325" s="162" t="str">
        <x:f>IF(A325="","",IF(A325&gt;$F$2,"",IF(A325=$F$2,$H$2,IFERROR(LOOKUP(2,1/(($G$7:$G$106&lt;&gt;"")*($G$7:$G$106&lt;=A325)),$H$7:$H$106),""))))</x:f>
      </x:c>
      <x:c r="D325" s="162" t="str">
        <x:f>IF(C325="","",C325-B325)</x:f>
      </x:c>
      <x:c r="E325" s="163" t="str">
        <x:f>IF(D325="","",IF(D325&gt;=0,"On / Ahead",IF(D325&gt;=-0.05,"Watch","Behind")))</x:f>
      </x:c>
      <x:c r="J325"/>
      <x:c r="K325"/>
      <x:c r="L325"/>
      <x:c r="M325" t="str">
        <x:f>IF(A325="","",TEXT(A325,"mmm d"))</x:f>
      </x:c>
      <x:c r="N325" s="14" t="e">
        <x:f>IF(B325="",NA(),B325)</x:f>
        <x:v>#N/A</x:v>
      </x:c>
      <x:c r="O325" s="14" t="e">
        <x:f>IF(OR(P325="",$B$2="",$F$2="",P325&lt;$B$2,P325&gt;$F$2),NA(),IF(Q325=0,IF($F$2=$B$2,$H$2,MAX(0,MIN(1,$H$2*(3*MAX(0,MIN(1,(P325-$B$2)/($F$2-$B$2)))^2-2*MAX(0,MIN(1,(P325-$B$2)/($F$2-$B$2)))^3)))),MAX(0,MIN(1,T325+(V325-T325)*(3*W325^2-2*W325^3)))))</x:f>
        <x:v>#N/A</x:v>
      </x:c>
      <x:c r="P325" s="189" t="str">
        <x:f>A325</x:f>
      </x:c>
      <x:c r="Q325" t="n">
        <x:f>COUNT($G$7:$G$106)</x:f>
        <x:v>0</x:v>
      </x:c>
      <x:c r="R325" t="str">
        <x:f>IF(OR(P325="",$B$2="",$F$2="",P325&lt;$B$2,P325&gt;$F$2),"",IF(Q325=0,0,IF(P325&lt;$G$7,0,IF(P325&gt;=INDEX($G$7:$G$106,Q325),Q325,MATCH(P325,$G$7:$G$106,1)))))</x:f>
      </x:c>
      <x:c r="S325" t="str">
        <x:f>IF(R325="","",IF(R325=0,$B$2,INDEX($G$7:$G$106,R325)))</x:f>
      </x:c>
      <x:c r="T325" s="14" t="str">
        <x:f>IF(R325="","",IF(R325=0,0,INDEX($H$7:$H$106,R325)))</x:f>
      </x:c>
      <x:c r="U325" t="str">
        <x:f>IF(R325="","",IF(Q325=0,$F$2,IF(R325=0,$G$7,IF(R325&lt;Q325,INDEX($G$7:$G$106,R325+1),$F$2))))</x:f>
      </x:c>
      <x:c r="V325" s="14" t="str">
        <x:f>IF(R325="","",IF(Q325=0,$H$2,IF(R325=0,$H$7,IF(R325&lt;Q325,INDEX($H$7:$H$106,R325+1),$H$2))))</x:f>
      </x:c>
      <x:c r="W325" s="188" t="str">
        <x:f>IF(R325="","",IF(U325=S325,1,MAX(0,MIN(1,(P325-S325)/(U325-S325)))))</x:f>
      </x:c>
    </x:row>
    <x:row r="326">
      <x:c r="A326" s="159" t="str">
        <x:f>IF(OR(A325="",A325&gt;=$D$2),"",A325+1)</x:f>
      </x:c>
      <x:c r="B326" s="162" t="str">
        <x:f>IF(A326="","",IFERROR(SUMPRODUCT(--('Project Plan'!$A$7:$A$206&lt;&gt;""),('Project Plan'!$P$7:$P$206+('Project Plan'!$P$7:$P$206="")),--('Project Plan'!$F$7:$F$206&lt;&gt;""),--('Project Plan'!$G$7:$G$206&lt;&gt;""),((A326&gt;='Project Plan'!$G$7:$G$206)+((A326&gt;='Project Plan'!$F$7:$F$206)*(A326&lt;'Project Plan'!$G$7:$G$206)*(A326-'Project Plan'!$F$7:$F$206+1)/('Project Plan'!$G$7:$G$206-'Project Plan'!$F$7:$F$206+1))))/SUMPRODUCT(--('Project Plan'!$A$7:$A$206&lt;&gt;""),('Project Plan'!$P$7:$P$206+('Project Plan'!$P$7:$P$206=""))),0))</x:f>
      </x:c>
      <x:c r="C326" s="162" t="str">
        <x:f>IF(A326="","",IF(A326&gt;$F$2,"",IF(A326=$F$2,$H$2,IFERROR(LOOKUP(2,1/(($G$7:$G$106&lt;&gt;"")*($G$7:$G$106&lt;=A326)),$H$7:$H$106),""))))</x:f>
      </x:c>
      <x:c r="D326" s="162" t="str">
        <x:f>IF(C326="","",C326-B326)</x:f>
      </x:c>
      <x:c r="E326" s="163" t="str">
        <x:f>IF(D326="","",IF(D326&gt;=0,"On / Ahead",IF(D326&gt;=-0.05,"Watch","Behind")))</x:f>
      </x:c>
      <x:c r="J326"/>
      <x:c r="K326"/>
      <x:c r="L326"/>
      <x:c r="M326" t="str">
        <x:f>IF(A326="","",TEXT(A326,"mmm d"))</x:f>
      </x:c>
      <x:c r="N326" s="14" t="e">
        <x:f>IF(B326="",NA(),B326)</x:f>
        <x:v>#N/A</x:v>
      </x:c>
      <x:c r="O326" s="14" t="e">
        <x:f>IF(OR(P326="",$B$2="",$F$2="",P326&lt;$B$2,P326&gt;$F$2),NA(),IF(Q326=0,IF($F$2=$B$2,$H$2,MAX(0,MIN(1,$H$2*(3*MAX(0,MIN(1,(P326-$B$2)/($F$2-$B$2)))^2-2*MAX(0,MIN(1,(P326-$B$2)/($F$2-$B$2)))^3)))),MAX(0,MIN(1,T326+(V326-T326)*(3*W326^2-2*W326^3)))))</x:f>
        <x:v>#N/A</x:v>
      </x:c>
      <x:c r="P326" s="189" t="str">
        <x:f>A326</x:f>
      </x:c>
      <x:c r="Q326" t="n">
        <x:f>COUNT($G$7:$G$106)</x:f>
        <x:v>0</x:v>
      </x:c>
      <x:c r="R326" t="str">
        <x:f>IF(OR(P326="",$B$2="",$F$2="",P326&lt;$B$2,P326&gt;$F$2),"",IF(Q326=0,0,IF(P326&lt;$G$7,0,IF(P326&gt;=INDEX($G$7:$G$106,Q326),Q326,MATCH(P326,$G$7:$G$106,1)))))</x:f>
      </x:c>
      <x:c r="S326" t="str">
        <x:f>IF(R326="","",IF(R326=0,$B$2,INDEX($G$7:$G$106,R326)))</x:f>
      </x:c>
      <x:c r="T326" s="14" t="str">
        <x:f>IF(R326="","",IF(R326=0,0,INDEX($H$7:$H$106,R326)))</x:f>
      </x:c>
      <x:c r="U326" t="str">
        <x:f>IF(R326="","",IF(Q326=0,$F$2,IF(R326=0,$G$7,IF(R326&lt;Q326,INDEX($G$7:$G$106,R326+1),$F$2))))</x:f>
      </x:c>
      <x:c r="V326" s="14" t="str">
        <x:f>IF(R326="","",IF(Q326=0,$H$2,IF(R326=0,$H$7,IF(R326&lt;Q326,INDEX($H$7:$H$106,R326+1),$H$2))))</x:f>
      </x:c>
      <x:c r="W326" s="188" t="str">
        <x:f>IF(R326="","",IF(U326=S326,1,MAX(0,MIN(1,(P326-S326)/(U326-S326)))))</x:f>
      </x:c>
    </x:row>
    <x:row r="327">
      <x:c r="A327" s="159" t="str">
        <x:f>IF(OR(A326="",A326&gt;=$D$2),"",A326+1)</x:f>
      </x:c>
      <x:c r="B327" s="162" t="str">
        <x:f>IF(A327="","",IFERROR(SUMPRODUCT(--('Project Plan'!$A$7:$A$206&lt;&gt;""),('Project Plan'!$P$7:$P$206+('Project Plan'!$P$7:$P$206="")),--('Project Plan'!$F$7:$F$206&lt;&gt;""),--('Project Plan'!$G$7:$G$206&lt;&gt;""),((A327&gt;='Project Plan'!$G$7:$G$206)+((A327&gt;='Project Plan'!$F$7:$F$206)*(A327&lt;'Project Plan'!$G$7:$G$206)*(A327-'Project Plan'!$F$7:$F$206+1)/('Project Plan'!$G$7:$G$206-'Project Plan'!$F$7:$F$206+1))))/SUMPRODUCT(--('Project Plan'!$A$7:$A$206&lt;&gt;""),('Project Plan'!$P$7:$P$206+('Project Plan'!$P$7:$P$206=""))),0))</x:f>
      </x:c>
      <x:c r="C327" s="162" t="str">
        <x:f>IF(A327="","",IF(A327&gt;$F$2,"",IF(A327=$F$2,$H$2,IFERROR(LOOKUP(2,1/(($G$7:$G$106&lt;&gt;"")*($G$7:$G$106&lt;=A327)),$H$7:$H$106),""))))</x:f>
      </x:c>
      <x:c r="D327" s="162" t="str">
        <x:f>IF(C327="","",C327-B327)</x:f>
      </x:c>
      <x:c r="E327" s="163" t="str">
        <x:f>IF(D327="","",IF(D327&gt;=0,"On / Ahead",IF(D327&gt;=-0.05,"Watch","Behind")))</x:f>
      </x:c>
      <x:c r="J327"/>
      <x:c r="K327"/>
      <x:c r="L327"/>
      <x:c r="M327" t="str">
        <x:f>IF(A327="","",TEXT(A327,"mmm d"))</x:f>
      </x:c>
      <x:c r="N327" s="14" t="e">
        <x:f>IF(B327="",NA(),B327)</x:f>
        <x:v>#N/A</x:v>
      </x:c>
      <x:c r="O327" s="14" t="e">
        <x:f>IF(OR(P327="",$B$2="",$F$2="",P327&lt;$B$2,P327&gt;$F$2),NA(),IF(Q327=0,IF($F$2=$B$2,$H$2,MAX(0,MIN(1,$H$2*(3*MAX(0,MIN(1,(P327-$B$2)/($F$2-$B$2)))^2-2*MAX(0,MIN(1,(P327-$B$2)/($F$2-$B$2)))^3)))),MAX(0,MIN(1,T327+(V327-T327)*(3*W327^2-2*W327^3)))))</x:f>
        <x:v>#N/A</x:v>
      </x:c>
      <x:c r="P327" s="189" t="str">
        <x:f>A327</x:f>
      </x:c>
      <x:c r="Q327" t="n">
        <x:f>COUNT($G$7:$G$106)</x:f>
        <x:v>0</x:v>
      </x:c>
      <x:c r="R327" t="str">
        <x:f>IF(OR(P327="",$B$2="",$F$2="",P327&lt;$B$2,P327&gt;$F$2),"",IF(Q327=0,0,IF(P327&lt;$G$7,0,IF(P327&gt;=INDEX($G$7:$G$106,Q327),Q327,MATCH(P327,$G$7:$G$106,1)))))</x:f>
      </x:c>
      <x:c r="S327" t="str">
        <x:f>IF(R327="","",IF(R327=0,$B$2,INDEX($G$7:$G$106,R327)))</x:f>
      </x:c>
      <x:c r="T327" s="14" t="str">
        <x:f>IF(R327="","",IF(R327=0,0,INDEX($H$7:$H$106,R327)))</x:f>
      </x:c>
      <x:c r="U327" t="str">
        <x:f>IF(R327="","",IF(Q327=0,$F$2,IF(R327=0,$G$7,IF(R327&lt;Q327,INDEX($G$7:$G$106,R327+1),$F$2))))</x:f>
      </x:c>
      <x:c r="V327" s="14" t="str">
        <x:f>IF(R327="","",IF(Q327=0,$H$2,IF(R327=0,$H$7,IF(R327&lt;Q327,INDEX($H$7:$H$106,R327+1),$H$2))))</x:f>
      </x:c>
      <x:c r="W327" s="188" t="str">
        <x:f>IF(R327="","",IF(U327=S327,1,MAX(0,MIN(1,(P327-S327)/(U327-S327)))))</x:f>
      </x:c>
    </x:row>
    <x:row r="328">
      <x:c r="A328" s="159" t="str">
        <x:f>IF(OR(A327="",A327&gt;=$D$2),"",A327+1)</x:f>
      </x:c>
      <x:c r="B328" s="162" t="str">
        <x:f>IF(A328="","",IFERROR(SUMPRODUCT(--('Project Plan'!$A$7:$A$206&lt;&gt;""),('Project Plan'!$P$7:$P$206+('Project Plan'!$P$7:$P$206="")),--('Project Plan'!$F$7:$F$206&lt;&gt;""),--('Project Plan'!$G$7:$G$206&lt;&gt;""),((A328&gt;='Project Plan'!$G$7:$G$206)+((A328&gt;='Project Plan'!$F$7:$F$206)*(A328&lt;'Project Plan'!$G$7:$G$206)*(A328-'Project Plan'!$F$7:$F$206+1)/('Project Plan'!$G$7:$G$206-'Project Plan'!$F$7:$F$206+1))))/SUMPRODUCT(--('Project Plan'!$A$7:$A$206&lt;&gt;""),('Project Plan'!$P$7:$P$206+('Project Plan'!$P$7:$P$206=""))),0))</x:f>
      </x:c>
      <x:c r="C328" s="162" t="str">
        <x:f>IF(A328="","",IF(A328&gt;$F$2,"",IF(A328=$F$2,$H$2,IFERROR(LOOKUP(2,1/(($G$7:$G$106&lt;&gt;"")*($G$7:$G$106&lt;=A328)),$H$7:$H$106),""))))</x:f>
      </x:c>
      <x:c r="D328" s="162" t="str">
        <x:f>IF(C328="","",C328-B328)</x:f>
      </x:c>
      <x:c r="E328" s="163" t="str">
        <x:f>IF(D328="","",IF(D328&gt;=0,"On / Ahead",IF(D328&gt;=-0.05,"Watch","Behind")))</x:f>
      </x:c>
      <x:c r="J328"/>
      <x:c r="K328"/>
      <x:c r="L328"/>
      <x:c r="M328" t="str">
        <x:f>IF(A328="","",TEXT(A328,"mmm d"))</x:f>
      </x:c>
      <x:c r="N328" s="14" t="e">
        <x:f>IF(B328="",NA(),B328)</x:f>
        <x:v>#N/A</x:v>
      </x:c>
      <x:c r="O328" s="14" t="e">
        <x:f>IF(OR(P328="",$B$2="",$F$2="",P328&lt;$B$2,P328&gt;$F$2),NA(),IF(Q328=0,IF($F$2=$B$2,$H$2,MAX(0,MIN(1,$H$2*(3*MAX(0,MIN(1,(P328-$B$2)/($F$2-$B$2)))^2-2*MAX(0,MIN(1,(P328-$B$2)/($F$2-$B$2)))^3)))),MAX(0,MIN(1,T328+(V328-T328)*(3*W328^2-2*W328^3)))))</x:f>
        <x:v>#N/A</x:v>
      </x:c>
      <x:c r="P328" s="189" t="str">
        <x:f>A328</x:f>
      </x:c>
      <x:c r="Q328" t="n">
        <x:f>COUNT($G$7:$G$106)</x:f>
        <x:v>0</x:v>
      </x:c>
      <x:c r="R328" t="str">
        <x:f>IF(OR(P328="",$B$2="",$F$2="",P328&lt;$B$2,P328&gt;$F$2),"",IF(Q328=0,0,IF(P328&lt;$G$7,0,IF(P328&gt;=INDEX($G$7:$G$106,Q328),Q328,MATCH(P328,$G$7:$G$106,1)))))</x:f>
      </x:c>
      <x:c r="S328" t="str">
        <x:f>IF(R328="","",IF(R328=0,$B$2,INDEX($G$7:$G$106,R328)))</x:f>
      </x:c>
      <x:c r="T328" s="14" t="str">
        <x:f>IF(R328="","",IF(R328=0,0,INDEX($H$7:$H$106,R328)))</x:f>
      </x:c>
      <x:c r="U328" t="str">
        <x:f>IF(R328="","",IF(Q328=0,$F$2,IF(R328=0,$G$7,IF(R328&lt;Q328,INDEX($G$7:$G$106,R328+1),$F$2))))</x:f>
      </x:c>
      <x:c r="V328" s="14" t="str">
        <x:f>IF(R328="","",IF(Q328=0,$H$2,IF(R328=0,$H$7,IF(R328&lt;Q328,INDEX($H$7:$H$106,R328+1),$H$2))))</x:f>
      </x:c>
      <x:c r="W328" s="188" t="str">
        <x:f>IF(R328="","",IF(U328=S328,1,MAX(0,MIN(1,(P328-S328)/(U328-S328)))))</x:f>
      </x:c>
    </x:row>
    <x:row r="329">
      <x:c r="A329" s="159" t="str">
        <x:f>IF(OR(A328="",A328&gt;=$D$2),"",A328+1)</x:f>
      </x:c>
      <x:c r="B329" s="162" t="str">
        <x:f>IF(A329="","",IFERROR(SUMPRODUCT(--('Project Plan'!$A$7:$A$206&lt;&gt;""),('Project Plan'!$P$7:$P$206+('Project Plan'!$P$7:$P$206="")),--('Project Plan'!$F$7:$F$206&lt;&gt;""),--('Project Plan'!$G$7:$G$206&lt;&gt;""),((A329&gt;='Project Plan'!$G$7:$G$206)+((A329&gt;='Project Plan'!$F$7:$F$206)*(A329&lt;'Project Plan'!$G$7:$G$206)*(A329-'Project Plan'!$F$7:$F$206+1)/('Project Plan'!$G$7:$G$206-'Project Plan'!$F$7:$F$206+1))))/SUMPRODUCT(--('Project Plan'!$A$7:$A$206&lt;&gt;""),('Project Plan'!$P$7:$P$206+('Project Plan'!$P$7:$P$206=""))),0))</x:f>
      </x:c>
      <x:c r="C329" s="162" t="str">
        <x:f>IF(A329="","",IF(A329&gt;$F$2,"",IF(A329=$F$2,$H$2,IFERROR(LOOKUP(2,1/(($G$7:$G$106&lt;&gt;"")*($G$7:$G$106&lt;=A329)),$H$7:$H$106),""))))</x:f>
      </x:c>
      <x:c r="D329" s="162" t="str">
        <x:f>IF(C329="","",C329-B329)</x:f>
      </x:c>
      <x:c r="E329" s="163" t="str">
        <x:f>IF(D329="","",IF(D329&gt;=0,"On / Ahead",IF(D329&gt;=-0.05,"Watch","Behind")))</x:f>
      </x:c>
      <x:c r="J329"/>
      <x:c r="K329"/>
      <x:c r="L329"/>
      <x:c r="M329" t="str">
        <x:f>IF(A329="","",TEXT(A329,"mmm d"))</x:f>
      </x:c>
      <x:c r="N329" s="14" t="e">
        <x:f>IF(B329="",NA(),B329)</x:f>
        <x:v>#N/A</x:v>
      </x:c>
      <x:c r="O329" s="14" t="e">
        <x:f>IF(OR(P329="",$B$2="",$F$2="",P329&lt;$B$2,P329&gt;$F$2),NA(),IF(Q329=0,IF($F$2=$B$2,$H$2,MAX(0,MIN(1,$H$2*(3*MAX(0,MIN(1,(P329-$B$2)/($F$2-$B$2)))^2-2*MAX(0,MIN(1,(P329-$B$2)/($F$2-$B$2)))^3)))),MAX(0,MIN(1,T329+(V329-T329)*(3*W329^2-2*W329^3)))))</x:f>
        <x:v>#N/A</x:v>
      </x:c>
      <x:c r="P329" s="189" t="str">
        <x:f>A329</x:f>
      </x:c>
      <x:c r="Q329" t="n">
        <x:f>COUNT($G$7:$G$106)</x:f>
        <x:v>0</x:v>
      </x:c>
      <x:c r="R329" t="str">
        <x:f>IF(OR(P329="",$B$2="",$F$2="",P329&lt;$B$2,P329&gt;$F$2),"",IF(Q329=0,0,IF(P329&lt;$G$7,0,IF(P329&gt;=INDEX($G$7:$G$106,Q329),Q329,MATCH(P329,$G$7:$G$106,1)))))</x:f>
      </x:c>
      <x:c r="S329" t="str">
        <x:f>IF(R329="","",IF(R329=0,$B$2,INDEX($G$7:$G$106,R329)))</x:f>
      </x:c>
      <x:c r="T329" s="14" t="str">
        <x:f>IF(R329="","",IF(R329=0,0,INDEX($H$7:$H$106,R329)))</x:f>
      </x:c>
      <x:c r="U329" t="str">
        <x:f>IF(R329="","",IF(Q329=0,$F$2,IF(R329=0,$G$7,IF(R329&lt;Q329,INDEX($G$7:$G$106,R329+1),$F$2))))</x:f>
      </x:c>
      <x:c r="V329" s="14" t="str">
        <x:f>IF(R329="","",IF(Q329=0,$H$2,IF(R329=0,$H$7,IF(R329&lt;Q329,INDEX($H$7:$H$106,R329+1),$H$2))))</x:f>
      </x:c>
      <x:c r="W329" s="188" t="str">
        <x:f>IF(R329="","",IF(U329=S329,1,MAX(0,MIN(1,(P329-S329)/(U329-S329)))))</x:f>
      </x:c>
    </x:row>
    <x:row r="330">
      <x:c r="A330" s="159" t="str">
        <x:f>IF(OR(A329="",A329&gt;=$D$2),"",A329+1)</x:f>
      </x:c>
      <x:c r="B330" s="162" t="str">
        <x:f>IF(A330="","",IFERROR(SUMPRODUCT(--('Project Plan'!$A$7:$A$206&lt;&gt;""),('Project Plan'!$P$7:$P$206+('Project Plan'!$P$7:$P$206="")),--('Project Plan'!$F$7:$F$206&lt;&gt;""),--('Project Plan'!$G$7:$G$206&lt;&gt;""),((A330&gt;='Project Plan'!$G$7:$G$206)+((A330&gt;='Project Plan'!$F$7:$F$206)*(A330&lt;'Project Plan'!$G$7:$G$206)*(A330-'Project Plan'!$F$7:$F$206+1)/('Project Plan'!$G$7:$G$206-'Project Plan'!$F$7:$F$206+1))))/SUMPRODUCT(--('Project Plan'!$A$7:$A$206&lt;&gt;""),('Project Plan'!$P$7:$P$206+('Project Plan'!$P$7:$P$206=""))),0))</x:f>
      </x:c>
      <x:c r="C330" s="162" t="str">
        <x:f>IF(A330="","",IF(A330&gt;$F$2,"",IF(A330=$F$2,$H$2,IFERROR(LOOKUP(2,1/(($G$7:$G$106&lt;&gt;"")*($G$7:$G$106&lt;=A330)),$H$7:$H$106),""))))</x:f>
      </x:c>
      <x:c r="D330" s="162" t="str">
        <x:f>IF(C330="","",C330-B330)</x:f>
      </x:c>
      <x:c r="E330" s="163" t="str">
        <x:f>IF(D330="","",IF(D330&gt;=0,"On / Ahead",IF(D330&gt;=-0.05,"Watch","Behind")))</x:f>
      </x:c>
      <x:c r="J330"/>
      <x:c r="K330"/>
      <x:c r="L330"/>
      <x:c r="M330" t="str">
        <x:f>IF(A330="","",TEXT(A330,"mmm d"))</x:f>
      </x:c>
      <x:c r="N330" s="14" t="e">
        <x:f>IF(B330="",NA(),B330)</x:f>
        <x:v>#N/A</x:v>
      </x:c>
      <x:c r="O330" s="14" t="e">
        <x:f>IF(OR(P330="",$B$2="",$F$2="",P330&lt;$B$2,P330&gt;$F$2),NA(),IF(Q330=0,IF($F$2=$B$2,$H$2,MAX(0,MIN(1,$H$2*(3*MAX(0,MIN(1,(P330-$B$2)/($F$2-$B$2)))^2-2*MAX(0,MIN(1,(P330-$B$2)/($F$2-$B$2)))^3)))),MAX(0,MIN(1,T330+(V330-T330)*(3*W330^2-2*W330^3)))))</x:f>
        <x:v>#N/A</x:v>
      </x:c>
      <x:c r="P330" s="189" t="str">
        <x:f>A330</x:f>
      </x:c>
      <x:c r="Q330" t="n">
        <x:f>COUNT($G$7:$G$106)</x:f>
        <x:v>0</x:v>
      </x:c>
      <x:c r="R330" t="str">
        <x:f>IF(OR(P330="",$B$2="",$F$2="",P330&lt;$B$2,P330&gt;$F$2),"",IF(Q330=0,0,IF(P330&lt;$G$7,0,IF(P330&gt;=INDEX($G$7:$G$106,Q330),Q330,MATCH(P330,$G$7:$G$106,1)))))</x:f>
      </x:c>
      <x:c r="S330" t="str">
        <x:f>IF(R330="","",IF(R330=0,$B$2,INDEX($G$7:$G$106,R330)))</x:f>
      </x:c>
      <x:c r="T330" s="14" t="str">
        <x:f>IF(R330="","",IF(R330=0,0,INDEX($H$7:$H$106,R330)))</x:f>
      </x:c>
      <x:c r="U330" t="str">
        <x:f>IF(R330="","",IF(Q330=0,$F$2,IF(R330=0,$G$7,IF(R330&lt;Q330,INDEX($G$7:$G$106,R330+1),$F$2))))</x:f>
      </x:c>
      <x:c r="V330" s="14" t="str">
        <x:f>IF(R330="","",IF(Q330=0,$H$2,IF(R330=0,$H$7,IF(R330&lt;Q330,INDEX($H$7:$H$106,R330+1),$H$2))))</x:f>
      </x:c>
      <x:c r="W330" s="188" t="str">
        <x:f>IF(R330="","",IF(U330=S330,1,MAX(0,MIN(1,(P330-S330)/(U330-S330)))))</x:f>
      </x:c>
    </x:row>
    <x:row r="331">
      <x:c r="A331" s="159" t="str">
        <x:f>IF(OR(A330="",A330&gt;=$D$2),"",A330+1)</x:f>
      </x:c>
      <x:c r="B331" s="162" t="str">
        <x:f>IF(A331="","",IFERROR(SUMPRODUCT(--('Project Plan'!$A$7:$A$206&lt;&gt;""),('Project Plan'!$P$7:$P$206+('Project Plan'!$P$7:$P$206="")),--('Project Plan'!$F$7:$F$206&lt;&gt;""),--('Project Plan'!$G$7:$G$206&lt;&gt;""),((A331&gt;='Project Plan'!$G$7:$G$206)+((A331&gt;='Project Plan'!$F$7:$F$206)*(A331&lt;'Project Plan'!$G$7:$G$206)*(A331-'Project Plan'!$F$7:$F$206+1)/('Project Plan'!$G$7:$G$206-'Project Plan'!$F$7:$F$206+1))))/SUMPRODUCT(--('Project Plan'!$A$7:$A$206&lt;&gt;""),('Project Plan'!$P$7:$P$206+('Project Plan'!$P$7:$P$206=""))),0))</x:f>
      </x:c>
      <x:c r="C331" s="162" t="str">
        <x:f>IF(A331="","",IF(A331&gt;$F$2,"",IF(A331=$F$2,$H$2,IFERROR(LOOKUP(2,1/(($G$7:$G$106&lt;&gt;"")*($G$7:$G$106&lt;=A331)),$H$7:$H$106),""))))</x:f>
      </x:c>
      <x:c r="D331" s="162" t="str">
        <x:f>IF(C331="","",C331-B331)</x:f>
      </x:c>
      <x:c r="E331" s="163" t="str">
        <x:f>IF(D331="","",IF(D331&gt;=0,"On / Ahead",IF(D331&gt;=-0.05,"Watch","Behind")))</x:f>
      </x:c>
      <x:c r="J331"/>
      <x:c r="K331"/>
      <x:c r="L331"/>
      <x:c r="M331" t="str">
        <x:f>IF(A331="","",TEXT(A331,"mmm d"))</x:f>
      </x:c>
      <x:c r="N331" s="14" t="e">
        <x:f>IF(B331="",NA(),B331)</x:f>
        <x:v>#N/A</x:v>
      </x:c>
      <x:c r="O331" s="14" t="e">
        <x:f>IF(OR(P331="",$B$2="",$F$2="",P331&lt;$B$2,P331&gt;$F$2),NA(),IF(Q331=0,IF($F$2=$B$2,$H$2,MAX(0,MIN(1,$H$2*(3*MAX(0,MIN(1,(P331-$B$2)/($F$2-$B$2)))^2-2*MAX(0,MIN(1,(P331-$B$2)/($F$2-$B$2)))^3)))),MAX(0,MIN(1,T331+(V331-T331)*(3*W331^2-2*W331^3)))))</x:f>
        <x:v>#N/A</x:v>
      </x:c>
      <x:c r="P331" s="189" t="str">
        <x:f>A331</x:f>
      </x:c>
      <x:c r="Q331" t="n">
        <x:f>COUNT($G$7:$G$106)</x:f>
        <x:v>0</x:v>
      </x:c>
      <x:c r="R331" t="str">
        <x:f>IF(OR(P331="",$B$2="",$F$2="",P331&lt;$B$2,P331&gt;$F$2),"",IF(Q331=0,0,IF(P331&lt;$G$7,0,IF(P331&gt;=INDEX($G$7:$G$106,Q331),Q331,MATCH(P331,$G$7:$G$106,1)))))</x:f>
      </x:c>
      <x:c r="S331" t="str">
        <x:f>IF(R331="","",IF(R331=0,$B$2,INDEX($G$7:$G$106,R331)))</x:f>
      </x:c>
      <x:c r="T331" s="14" t="str">
        <x:f>IF(R331="","",IF(R331=0,0,INDEX($H$7:$H$106,R331)))</x:f>
      </x:c>
      <x:c r="U331" t="str">
        <x:f>IF(R331="","",IF(Q331=0,$F$2,IF(R331=0,$G$7,IF(R331&lt;Q331,INDEX($G$7:$G$106,R331+1),$F$2))))</x:f>
      </x:c>
      <x:c r="V331" s="14" t="str">
        <x:f>IF(R331="","",IF(Q331=0,$H$2,IF(R331=0,$H$7,IF(R331&lt;Q331,INDEX($H$7:$H$106,R331+1),$H$2))))</x:f>
      </x:c>
      <x:c r="W331" s="188" t="str">
        <x:f>IF(R331="","",IF(U331=S331,1,MAX(0,MIN(1,(P331-S331)/(U331-S331)))))</x:f>
      </x:c>
    </x:row>
    <x:row r="332">
      <x:c r="A332" s="159" t="str">
        <x:f>IF(OR(A331="",A331&gt;=$D$2),"",A331+1)</x:f>
      </x:c>
      <x:c r="B332" s="162" t="str">
        <x:f>IF(A332="","",IFERROR(SUMPRODUCT(--('Project Plan'!$A$7:$A$206&lt;&gt;""),('Project Plan'!$P$7:$P$206+('Project Plan'!$P$7:$P$206="")),--('Project Plan'!$F$7:$F$206&lt;&gt;""),--('Project Plan'!$G$7:$G$206&lt;&gt;""),((A332&gt;='Project Plan'!$G$7:$G$206)+((A332&gt;='Project Plan'!$F$7:$F$206)*(A332&lt;'Project Plan'!$G$7:$G$206)*(A332-'Project Plan'!$F$7:$F$206+1)/('Project Plan'!$G$7:$G$206-'Project Plan'!$F$7:$F$206+1))))/SUMPRODUCT(--('Project Plan'!$A$7:$A$206&lt;&gt;""),('Project Plan'!$P$7:$P$206+('Project Plan'!$P$7:$P$206=""))),0))</x:f>
      </x:c>
      <x:c r="C332" s="162" t="str">
        <x:f>IF(A332="","",IF(A332&gt;$F$2,"",IF(A332=$F$2,$H$2,IFERROR(LOOKUP(2,1/(($G$7:$G$106&lt;&gt;"")*($G$7:$G$106&lt;=A332)),$H$7:$H$106),""))))</x:f>
      </x:c>
      <x:c r="D332" s="162" t="str">
        <x:f>IF(C332="","",C332-B332)</x:f>
      </x:c>
      <x:c r="E332" s="163" t="str">
        <x:f>IF(D332="","",IF(D332&gt;=0,"On / Ahead",IF(D332&gt;=-0.05,"Watch","Behind")))</x:f>
      </x:c>
      <x:c r="J332"/>
      <x:c r="K332"/>
      <x:c r="L332"/>
      <x:c r="M332" t="str">
        <x:f>IF(A332="","",TEXT(A332,"mmm d"))</x:f>
      </x:c>
      <x:c r="N332" s="14" t="e">
        <x:f>IF(B332="",NA(),B332)</x:f>
        <x:v>#N/A</x:v>
      </x:c>
      <x:c r="O332" s="14" t="e">
        <x:f>IF(OR(P332="",$B$2="",$F$2="",P332&lt;$B$2,P332&gt;$F$2),NA(),IF(Q332=0,IF($F$2=$B$2,$H$2,MAX(0,MIN(1,$H$2*(3*MAX(0,MIN(1,(P332-$B$2)/($F$2-$B$2)))^2-2*MAX(0,MIN(1,(P332-$B$2)/($F$2-$B$2)))^3)))),MAX(0,MIN(1,T332+(V332-T332)*(3*W332^2-2*W332^3)))))</x:f>
        <x:v>#N/A</x:v>
      </x:c>
      <x:c r="P332" s="189" t="str">
        <x:f>A332</x:f>
      </x:c>
      <x:c r="Q332" t="n">
        <x:f>COUNT($G$7:$G$106)</x:f>
        <x:v>0</x:v>
      </x:c>
      <x:c r="R332" t="str">
        <x:f>IF(OR(P332="",$B$2="",$F$2="",P332&lt;$B$2,P332&gt;$F$2),"",IF(Q332=0,0,IF(P332&lt;$G$7,0,IF(P332&gt;=INDEX($G$7:$G$106,Q332),Q332,MATCH(P332,$G$7:$G$106,1)))))</x:f>
      </x:c>
      <x:c r="S332" t="str">
        <x:f>IF(R332="","",IF(R332=0,$B$2,INDEX($G$7:$G$106,R332)))</x:f>
      </x:c>
      <x:c r="T332" s="14" t="str">
        <x:f>IF(R332="","",IF(R332=0,0,INDEX($H$7:$H$106,R332)))</x:f>
      </x:c>
      <x:c r="U332" t="str">
        <x:f>IF(R332="","",IF(Q332=0,$F$2,IF(R332=0,$G$7,IF(R332&lt;Q332,INDEX($G$7:$G$106,R332+1),$F$2))))</x:f>
      </x:c>
      <x:c r="V332" s="14" t="str">
        <x:f>IF(R332="","",IF(Q332=0,$H$2,IF(R332=0,$H$7,IF(R332&lt;Q332,INDEX($H$7:$H$106,R332+1),$H$2))))</x:f>
      </x:c>
      <x:c r="W332" s="188" t="str">
        <x:f>IF(R332="","",IF(U332=S332,1,MAX(0,MIN(1,(P332-S332)/(U332-S332)))))</x:f>
      </x:c>
    </x:row>
    <x:row r="333">
      <x:c r="A333" s="159" t="str">
        <x:f>IF(OR(A332="",A332&gt;=$D$2),"",A332+1)</x:f>
      </x:c>
      <x:c r="B333" s="162" t="str">
        <x:f>IF(A333="","",IFERROR(SUMPRODUCT(--('Project Plan'!$A$7:$A$206&lt;&gt;""),('Project Plan'!$P$7:$P$206+('Project Plan'!$P$7:$P$206="")),--('Project Plan'!$F$7:$F$206&lt;&gt;""),--('Project Plan'!$G$7:$G$206&lt;&gt;""),((A333&gt;='Project Plan'!$G$7:$G$206)+((A333&gt;='Project Plan'!$F$7:$F$206)*(A333&lt;'Project Plan'!$G$7:$G$206)*(A333-'Project Plan'!$F$7:$F$206+1)/('Project Plan'!$G$7:$G$206-'Project Plan'!$F$7:$F$206+1))))/SUMPRODUCT(--('Project Plan'!$A$7:$A$206&lt;&gt;""),('Project Plan'!$P$7:$P$206+('Project Plan'!$P$7:$P$206=""))),0))</x:f>
      </x:c>
      <x:c r="C333" s="162" t="str">
        <x:f>IF(A333="","",IF(A333&gt;$F$2,"",IF(A333=$F$2,$H$2,IFERROR(LOOKUP(2,1/(($G$7:$G$106&lt;&gt;"")*($G$7:$G$106&lt;=A333)),$H$7:$H$106),""))))</x:f>
      </x:c>
      <x:c r="D333" s="162" t="str">
        <x:f>IF(C333="","",C333-B333)</x:f>
      </x:c>
      <x:c r="E333" s="163" t="str">
        <x:f>IF(D333="","",IF(D333&gt;=0,"On / Ahead",IF(D333&gt;=-0.05,"Watch","Behind")))</x:f>
      </x:c>
      <x:c r="J333"/>
      <x:c r="K333"/>
      <x:c r="L333"/>
      <x:c r="M333" t="str">
        <x:f>IF(A333="","",TEXT(A333,"mmm d"))</x:f>
      </x:c>
      <x:c r="N333" s="14" t="e">
        <x:f>IF(B333="",NA(),B333)</x:f>
        <x:v>#N/A</x:v>
      </x:c>
      <x:c r="O333" s="14" t="e">
        <x:f>IF(OR(P333="",$B$2="",$F$2="",P333&lt;$B$2,P333&gt;$F$2),NA(),IF(Q333=0,IF($F$2=$B$2,$H$2,MAX(0,MIN(1,$H$2*(3*MAX(0,MIN(1,(P333-$B$2)/($F$2-$B$2)))^2-2*MAX(0,MIN(1,(P333-$B$2)/($F$2-$B$2)))^3)))),MAX(0,MIN(1,T333+(V333-T333)*(3*W333^2-2*W333^3)))))</x:f>
        <x:v>#N/A</x:v>
      </x:c>
      <x:c r="P333" s="189" t="str">
        <x:f>A333</x:f>
      </x:c>
      <x:c r="Q333" t="n">
        <x:f>COUNT($G$7:$G$106)</x:f>
        <x:v>0</x:v>
      </x:c>
      <x:c r="R333" t="str">
        <x:f>IF(OR(P333="",$B$2="",$F$2="",P333&lt;$B$2,P333&gt;$F$2),"",IF(Q333=0,0,IF(P333&lt;$G$7,0,IF(P333&gt;=INDEX($G$7:$G$106,Q333),Q333,MATCH(P333,$G$7:$G$106,1)))))</x:f>
      </x:c>
      <x:c r="S333" t="str">
        <x:f>IF(R333="","",IF(R333=0,$B$2,INDEX($G$7:$G$106,R333)))</x:f>
      </x:c>
      <x:c r="T333" s="14" t="str">
        <x:f>IF(R333="","",IF(R333=0,0,INDEX($H$7:$H$106,R333)))</x:f>
      </x:c>
      <x:c r="U333" t="str">
        <x:f>IF(R333="","",IF(Q333=0,$F$2,IF(R333=0,$G$7,IF(R333&lt;Q333,INDEX($G$7:$G$106,R333+1),$F$2))))</x:f>
      </x:c>
      <x:c r="V333" s="14" t="str">
        <x:f>IF(R333="","",IF(Q333=0,$H$2,IF(R333=0,$H$7,IF(R333&lt;Q333,INDEX($H$7:$H$106,R333+1),$H$2))))</x:f>
      </x:c>
      <x:c r="W333" s="188" t="str">
        <x:f>IF(R333="","",IF(U333=S333,1,MAX(0,MIN(1,(P333-S333)/(U333-S333)))))</x:f>
      </x:c>
    </x:row>
    <x:row r="334">
      <x:c r="A334" s="159" t="str">
        <x:f>IF(OR(A333="",A333&gt;=$D$2),"",A333+1)</x:f>
      </x:c>
      <x:c r="B334" s="162" t="str">
        <x:f>IF(A334="","",IFERROR(SUMPRODUCT(--('Project Plan'!$A$7:$A$206&lt;&gt;""),('Project Plan'!$P$7:$P$206+('Project Plan'!$P$7:$P$206="")),--('Project Plan'!$F$7:$F$206&lt;&gt;""),--('Project Plan'!$G$7:$G$206&lt;&gt;""),((A334&gt;='Project Plan'!$G$7:$G$206)+((A334&gt;='Project Plan'!$F$7:$F$206)*(A334&lt;'Project Plan'!$G$7:$G$206)*(A334-'Project Plan'!$F$7:$F$206+1)/('Project Plan'!$G$7:$G$206-'Project Plan'!$F$7:$F$206+1))))/SUMPRODUCT(--('Project Plan'!$A$7:$A$206&lt;&gt;""),('Project Plan'!$P$7:$P$206+('Project Plan'!$P$7:$P$206=""))),0))</x:f>
      </x:c>
      <x:c r="C334" s="162" t="str">
        <x:f>IF(A334="","",IF(A334&gt;$F$2,"",IF(A334=$F$2,$H$2,IFERROR(LOOKUP(2,1/(($G$7:$G$106&lt;&gt;"")*($G$7:$G$106&lt;=A334)),$H$7:$H$106),""))))</x:f>
      </x:c>
      <x:c r="D334" s="162" t="str">
        <x:f>IF(C334="","",C334-B334)</x:f>
      </x:c>
      <x:c r="E334" s="163" t="str">
        <x:f>IF(D334="","",IF(D334&gt;=0,"On / Ahead",IF(D334&gt;=-0.05,"Watch","Behind")))</x:f>
      </x:c>
      <x:c r="J334"/>
      <x:c r="K334"/>
      <x:c r="L334"/>
      <x:c r="M334" t="str">
        <x:f>IF(A334="","",TEXT(A334,"mmm d"))</x:f>
      </x:c>
      <x:c r="N334" s="14" t="e">
        <x:f>IF(B334="",NA(),B334)</x:f>
        <x:v>#N/A</x:v>
      </x:c>
      <x:c r="O334" s="14" t="e">
        <x:f>IF(OR(P334="",$B$2="",$F$2="",P334&lt;$B$2,P334&gt;$F$2),NA(),IF(Q334=0,IF($F$2=$B$2,$H$2,MAX(0,MIN(1,$H$2*(3*MAX(0,MIN(1,(P334-$B$2)/($F$2-$B$2)))^2-2*MAX(0,MIN(1,(P334-$B$2)/($F$2-$B$2)))^3)))),MAX(0,MIN(1,T334+(V334-T334)*(3*W334^2-2*W334^3)))))</x:f>
        <x:v>#N/A</x:v>
      </x:c>
      <x:c r="P334" s="189" t="str">
        <x:f>A334</x:f>
      </x:c>
      <x:c r="Q334" t="n">
        <x:f>COUNT($G$7:$G$106)</x:f>
        <x:v>0</x:v>
      </x:c>
      <x:c r="R334" t="str">
        <x:f>IF(OR(P334="",$B$2="",$F$2="",P334&lt;$B$2,P334&gt;$F$2),"",IF(Q334=0,0,IF(P334&lt;$G$7,0,IF(P334&gt;=INDEX($G$7:$G$106,Q334),Q334,MATCH(P334,$G$7:$G$106,1)))))</x:f>
      </x:c>
      <x:c r="S334" t="str">
        <x:f>IF(R334="","",IF(R334=0,$B$2,INDEX($G$7:$G$106,R334)))</x:f>
      </x:c>
      <x:c r="T334" s="14" t="str">
        <x:f>IF(R334="","",IF(R334=0,0,INDEX($H$7:$H$106,R334)))</x:f>
      </x:c>
      <x:c r="U334" t="str">
        <x:f>IF(R334="","",IF(Q334=0,$F$2,IF(R334=0,$G$7,IF(R334&lt;Q334,INDEX($G$7:$G$106,R334+1),$F$2))))</x:f>
      </x:c>
      <x:c r="V334" s="14" t="str">
        <x:f>IF(R334="","",IF(Q334=0,$H$2,IF(R334=0,$H$7,IF(R334&lt;Q334,INDEX($H$7:$H$106,R334+1),$H$2))))</x:f>
      </x:c>
      <x:c r="W334" s="188" t="str">
        <x:f>IF(R334="","",IF(U334=S334,1,MAX(0,MIN(1,(P334-S334)/(U334-S334)))))</x:f>
      </x:c>
    </x:row>
    <x:row r="335">
      <x:c r="A335" s="159" t="str">
        <x:f>IF(OR(A334="",A334&gt;=$D$2),"",A334+1)</x:f>
      </x:c>
      <x:c r="B335" s="162" t="str">
        <x:f>IF(A335="","",IFERROR(SUMPRODUCT(--('Project Plan'!$A$7:$A$206&lt;&gt;""),('Project Plan'!$P$7:$P$206+('Project Plan'!$P$7:$P$206="")),--('Project Plan'!$F$7:$F$206&lt;&gt;""),--('Project Plan'!$G$7:$G$206&lt;&gt;""),((A335&gt;='Project Plan'!$G$7:$G$206)+((A335&gt;='Project Plan'!$F$7:$F$206)*(A335&lt;'Project Plan'!$G$7:$G$206)*(A335-'Project Plan'!$F$7:$F$206+1)/('Project Plan'!$G$7:$G$206-'Project Plan'!$F$7:$F$206+1))))/SUMPRODUCT(--('Project Plan'!$A$7:$A$206&lt;&gt;""),('Project Plan'!$P$7:$P$206+('Project Plan'!$P$7:$P$206=""))),0))</x:f>
      </x:c>
      <x:c r="C335" s="162" t="str">
        <x:f>IF(A335="","",IF(A335&gt;$F$2,"",IF(A335=$F$2,$H$2,IFERROR(LOOKUP(2,1/(($G$7:$G$106&lt;&gt;"")*($G$7:$G$106&lt;=A335)),$H$7:$H$106),""))))</x:f>
      </x:c>
      <x:c r="D335" s="162" t="str">
        <x:f>IF(C335="","",C335-B335)</x:f>
      </x:c>
      <x:c r="E335" s="163" t="str">
        <x:f>IF(D335="","",IF(D335&gt;=0,"On / Ahead",IF(D335&gt;=-0.05,"Watch","Behind")))</x:f>
      </x:c>
      <x:c r="J335"/>
      <x:c r="K335"/>
      <x:c r="L335"/>
      <x:c r="M335" t="str">
        <x:f>IF(A335="","",TEXT(A335,"mmm d"))</x:f>
      </x:c>
      <x:c r="N335" s="14" t="e">
        <x:f>IF(B335="",NA(),B335)</x:f>
        <x:v>#N/A</x:v>
      </x:c>
      <x:c r="O335" s="14" t="e">
        <x:f>IF(OR(P335="",$B$2="",$F$2="",P335&lt;$B$2,P335&gt;$F$2),NA(),IF(Q335=0,IF($F$2=$B$2,$H$2,MAX(0,MIN(1,$H$2*(3*MAX(0,MIN(1,(P335-$B$2)/($F$2-$B$2)))^2-2*MAX(0,MIN(1,(P335-$B$2)/($F$2-$B$2)))^3)))),MAX(0,MIN(1,T335+(V335-T335)*(3*W335^2-2*W335^3)))))</x:f>
        <x:v>#N/A</x:v>
      </x:c>
      <x:c r="P335" s="189" t="str">
        <x:f>A335</x:f>
      </x:c>
      <x:c r="Q335" t="n">
        <x:f>COUNT($G$7:$G$106)</x:f>
        <x:v>0</x:v>
      </x:c>
      <x:c r="R335" t="str">
        <x:f>IF(OR(P335="",$B$2="",$F$2="",P335&lt;$B$2,P335&gt;$F$2),"",IF(Q335=0,0,IF(P335&lt;$G$7,0,IF(P335&gt;=INDEX($G$7:$G$106,Q335),Q335,MATCH(P335,$G$7:$G$106,1)))))</x:f>
      </x:c>
      <x:c r="S335" t="str">
        <x:f>IF(R335="","",IF(R335=0,$B$2,INDEX($G$7:$G$106,R335)))</x:f>
      </x:c>
      <x:c r="T335" s="14" t="str">
        <x:f>IF(R335="","",IF(R335=0,0,INDEX($H$7:$H$106,R335)))</x:f>
      </x:c>
      <x:c r="U335" t="str">
        <x:f>IF(R335="","",IF(Q335=0,$F$2,IF(R335=0,$G$7,IF(R335&lt;Q335,INDEX($G$7:$G$106,R335+1),$F$2))))</x:f>
      </x:c>
      <x:c r="V335" s="14" t="str">
        <x:f>IF(R335="","",IF(Q335=0,$H$2,IF(R335=0,$H$7,IF(R335&lt;Q335,INDEX($H$7:$H$106,R335+1),$H$2))))</x:f>
      </x:c>
      <x:c r="W335" s="188" t="str">
        <x:f>IF(R335="","",IF(U335=S335,1,MAX(0,MIN(1,(P335-S335)/(U335-S335)))))</x:f>
      </x:c>
    </x:row>
    <x:row r="336">
      <x:c r="A336" s="159" t="str">
        <x:f>IF(OR(A335="",A335&gt;=$D$2),"",A335+1)</x:f>
      </x:c>
      <x:c r="B336" s="162" t="str">
        <x:f>IF(A336="","",IFERROR(SUMPRODUCT(--('Project Plan'!$A$7:$A$206&lt;&gt;""),('Project Plan'!$P$7:$P$206+('Project Plan'!$P$7:$P$206="")),--('Project Plan'!$F$7:$F$206&lt;&gt;""),--('Project Plan'!$G$7:$G$206&lt;&gt;""),((A336&gt;='Project Plan'!$G$7:$G$206)+((A336&gt;='Project Plan'!$F$7:$F$206)*(A336&lt;'Project Plan'!$G$7:$G$206)*(A336-'Project Plan'!$F$7:$F$206+1)/('Project Plan'!$G$7:$G$206-'Project Plan'!$F$7:$F$206+1))))/SUMPRODUCT(--('Project Plan'!$A$7:$A$206&lt;&gt;""),('Project Plan'!$P$7:$P$206+('Project Plan'!$P$7:$P$206=""))),0))</x:f>
      </x:c>
      <x:c r="C336" s="162" t="str">
        <x:f>IF(A336="","",IF(A336&gt;$F$2,"",IF(A336=$F$2,$H$2,IFERROR(LOOKUP(2,1/(($G$7:$G$106&lt;&gt;"")*($G$7:$G$106&lt;=A336)),$H$7:$H$106),""))))</x:f>
      </x:c>
      <x:c r="D336" s="162" t="str">
        <x:f>IF(C336="","",C336-B336)</x:f>
      </x:c>
      <x:c r="E336" s="163" t="str">
        <x:f>IF(D336="","",IF(D336&gt;=0,"On / Ahead",IF(D336&gt;=-0.05,"Watch","Behind")))</x:f>
      </x:c>
      <x:c r="J336"/>
      <x:c r="K336"/>
      <x:c r="L336"/>
      <x:c r="M336" t="str">
        <x:f>IF(A336="","",TEXT(A336,"mmm d"))</x:f>
      </x:c>
      <x:c r="N336" s="14" t="e">
        <x:f>IF(B336="",NA(),B336)</x:f>
        <x:v>#N/A</x:v>
      </x:c>
      <x:c r="O336" s="14" t="e">
        <x:f>IF(OR(P336="",$B$2="",$F$2="",P336&lt;$B$2,P336&gt;$F$2),NA(),IF(Q336=0,IF($F$2=$B$2,$H$2,MAX(0,MIN(1,$H$2*(3*MAX(0,MIN(1,(P336-$B$2)/($F$2-$B$2)))^2-2*MAX(0,MIN(1,(P336-$B$2)/($F$2-$B$2)))^3)))),MAX(0,MIN(1,T336+(V336-T336)*(3*W336^2-2*W336^3)))))</x:f>
        <x:v>#N/A</x:v>
      </x:c>
      <x:c r="P336" s="189" t="str">
        <x:f>A336</x:f>
      </x:c>
      <x:c r="Q336" t="n">
        <x:f>COUNT($G$7:$G$106)</x:f>
        <x:v>0</x:v>
      </x:c>
      <x:c r="R336" t="str">
        <x:f>IF(OR(P336="",$B$2="",$F$2="",P336&lt;$B$2,P336&gt;$F$2),"",IF(Q336=0,0,IF(P336&lt;$G$7,0,IF(P336&gt;=INDEX($G$7:$G$106,Q336),Q336,MATCH(P336,$G$7:$G$106,1)))))</x:f>
      </x:c>
      <x:c r="S336" t="str">
        <x:f>IF(R336="","",IF(R336=0,$B$2,INDEX($G$7:$G$106,R336)))</x:f>
      </x:c>
      <x:c r="T336" s="14" t="str">
        <x:f>IF(R336="","",IF(R336=0,0,INDEX($H$7:$H$106,R336)))</x:f>
      </x:c>
      <x:c r="U336" t="str">
        <x:f>IF(R336="","",IF(Q336=0,$F$2,IF(R336=0,$G$7,IF(R336&lt;Q336,INDEX($G$7:$G$106,R336+1),$F$2))))</x:f>
      </x:c>
      <x:c r="V336" s="14" t="str">
        <x:f>IF(R336="","",IF(Q336=0,$H$2,IF(R336=0,$H$7,IF(R336&lt;Q336,INDEX($H$7:$H$106,R336+1),$H$2))))</x:f>
      </x:c>
      <x:c r="W336" s="188" t="str">
        <x:f>IF(R336="","",IF(U336=S336,1,MAX(0,MIN(1,(P336-S336)/(U336-S336)))))</x:f>
      </x:c>
    </x:row>
    <x:row r="337">
      <x:c r="A337" s="159" t="str">
        <x:f>IF(OR(A336="",A336&gt;=$D$2),"",A336+1)</x:f>
      </x:c>
      <x:c r="B337" s="162" t="str">
        <x:f>IF(A337="","",IFERROR(SUMPRODUCT(--('Project Plan'!$A$7:$A$206&lt;&gt;""),('Project Plan'!$P$7:$P$206+('Project Plan'!$P$7:$P$206="")),--('Project Plan'!$F$7:$F$206&lt;&gt;""),--('Project Plan'!$G$7:$G$206&lt;&gt;""),((A337&gt;='Project Plan'!$G$7:$G$206)+((A337&gt;='Project Plan'!$F$7:$F$206)*(A337&lt;'Project Plan'!$G$7:$G$206)*(A337-'Project Plan'!$F$7:$F$206+1)/('Project Plan'!$G$7:$G$206-'Project Plan'!$F$7:$F$206+1))))/SUMPRODUCT(--('Project Plan'!$A$7:$A$206&lt;&gt;""),('Project Plan'!$P$7:$P$206+('Project Plan'!$P$7:$P$206=""))),0))</x:f>
      </x:c>
      <x:c r="C337" s="162" t="str">
        <x:f>IF(A337="","",IF(A337&gt;$F$2,"",IF(A337=$F$2,$H$2,IFERROR(LOOKUP(2,1/(($G$7:$G$106&lt;&gt;"")*($G$7:$G$106&lt;=A337)),$H$7:$H$106),""))))</x:f>
      </x:c>
      <x:c r="D337" s="162" t="str">
        <x:f>IF(C337="","",C337-B337)</x:f>
      </x:c>
      <x:c r="E337" s="163" t="str">
        <x:f>IF(D337="","",IF(D337&gt;=0,"On / Ahead",IF(D337&gt;=-0.05,"Watch","Behind")))</x:f>
      </x:c>
      <x:c r="J337"/>
      <x:c r="K337"/>
      <x:c r="L337"/>
      <x:c r="M337" t="str">
        <x:f>IF(A337="","",TEXT(A337,"mmm d"))</x:f>
      </x:c>
      <x:c r="N337" s="14" t="e">
        <x:f>IF(B337="",NA(),B337)</x:f>
        <x:v>#N/A</x:v>
      </x:c>
      <x:c r="O337" s="14" t="e">
        <x:f>IF(OR(P337="",$B$2="",$F$2="",P337&lt;$B$2,P337&gt;$F$2),NA(),IF(Q337=0,IF($F$2=$B$2,$H$2,MAX(0,MIN(1,$H$2*(3*MAX(0,MIN(1,(P337-$B$2)/($F$2-$B$2)))^2-2*MAX(0,MIN(1,(P337-$B$2)/($F$2-$B$2)))^3)))),MAX(0,MIN(1,T337+(V337-T337)*(3*W337^2-2*W337^3)))))</x:f>
        <x:v>#N/A</x:v>
      </x:c>
      <x:c r="P337" s="189" t="str">
        <x:f>A337</x:f>
      </x:c>
      <x:c r="Q337" t="n">
        <x:f>COUNT($G$7:$G$106)</x:f>
        <x:v>0</x:v>
      </x:c>
      <x:c r="R337" t="str">
        <x:f>IF(OR(P337="",$B$2="",$F$2="",P337&lt;$B$2,P337&gt;$F$2),"",IF(Q337=0,0,IF(P337&lt;$G$7,0,IF(P337&gt;=INDEX($G$7:$G$106,Q337),Q337,MATCH(P337,$G$7:$G$106,1)))))</x:f>
      </x:c>
      <x:c r="S337" t="str">
        <x:f>IF(R337="","",IF(R337=0,$B$2,INDEX($G$7:$G$106,R337)))</x:f>
      </x:c>
      <x:c r="T337" s="14" t="str">
        <x:f>IF(R337="","",IF(R337=0,0,INDEX($H$7:$H$106,R337)))</x:f>
      </x:c>
      <x:c r="U337" t="str">
        <x:f>IF(R337="","",IF(Q337=0,$F$2,IF(R337=0,$G$7,IF(R337&lt;Q337,INDEX($G$7:$G$106,R337+1),$F$2))))</x:f>
      </x:c>
      <x:c r="V337" s="14" t="str">
        <x:f>IF(R337="","",IF(Q337=0,$H$2,IF(R337=0,$H$7,IF(R337&lt;Q337,INDEX($H$7:$H$106,R337+1),$H$2))))</x:f>
      </x:c>
      <x:c r="W337" s="188" t="str">
        <x:f>IF(R337="","",IF(U337=S337,1,MAX(0,MIN(1,(P337-S337)/(U337-S337)))))</x:f>
      </x:c>
    </x:row>
    <x:row r="338">
      <x:c r="A338" s="159" t="str">
        <x:f>IF(OR(A337="",A337&gt;=$D$2),"",A337+1)</x:f>
      </x:c>
      <x:c r="B338" s="162" t="str">
        <x:f>IF(A338="","",IFERROR(SUMPRODUCT(--('Project Plan'!$A$7:$A$206&lt;&gt;""),('Project Plan'!$P$7:$P$206+('Project Plan'!$P$7:$P$206="")),--('Project Plan'!$F$7:$F$206&lt;&gt;""),--('Project Plan'!$G$7:$G$206&lt;&gt;""),((A338&gt;='Project Plan'!$G$7:$G$206)+((A338&gt;='Project Plan'!$F$7:$F$206)*(A338&lt;'Project Plan'!$G$7:$G$206)*(A338-'Project Plan'!$F$7:$F$206+1)/('Project Plan'!$G$7:$G$206-'Project Plan'!$F$7:$F$206+1))))/SUMPRODUCT(--('Project Plan'!$A$7:$A$206&lt;&gt;""),('Project Plan'!$P$7:$P$206+('Project Plan'!$P$7:$P$206=""))),0))</x:f>
      </x:c>
      <x:c r="C338" s="162" t="str">
        <x:f>IF(A338="","",IF(A338&gt;$F$2,"",IF(A338=$F$2,$H$2,IFERROR(LOOKUP(2,1/(($G$7:$G$106&lt;&gt;"")*($G$7:$G$106&lt;=A338)),$H$7:$H$106),""))))</x:f>
      </x:c>
      <x:c r="D338" s="162" t="str">
        <x:f>IF(C338="","",C338-B338)</x:f>
      </x:c>
      <x:c r="E338" s="163" t="str">
        <x:f>IF(D338="","",IF(D338&gt;=0,"On / Ahead",IF(D338&gt;=-0.05,"Watch","Behind")))</x:f>
      </x:c>
      <x:c r="J338"/>
      <x:c r="K338"/>
      <x:c r="L338"/>
      <x:c r="M338" t="str">
        <x:f>IF(A338="","",TEXT(A338,"mmm d"))</x:f>
      </x:c>
      <x:c r="N338" s="14" t="e">
        <x:f>IF(B338="",NA(),B338)</x:f>
        <x:v>#N/A</x:v>
      </x:c>
      <x:c r="O338" s="14" t="e">
        <x:f>IF(OR(P338="",$B$2="",$F$2="",P338&lt;$B$2,P338&gt;$F$2),NA(),IF(Q338=0,IF($F$2=$B$2,$H$2,MAX(0,MIN(1,$H$2*(3*MAX(0,MIN(1,(P338-$B$2)/($F$2-$B$2)))^2-2*MAX(0,MIN(1,(P338-$B$2)/($F$2-$B$2)))^3)))),MAX(0,MIN(1,T338+(V338-T338)*(3*W338^2-2*W338^3)))))</x:f>
        <x:v>#N/A</x:v>
      </x:c>
      <x:c r="P338" s="189" t="str">
        <x:f>A338</x:f>
      </x:c>
      <x:c r="Q338" t="n">
        <x:f>COUNT($G$7:$G$106)</x:f>
        <x:v>0</x:v>
      </x:c>
      <x:c r="R338" t="str">
        <x:f>IF(OR(P338="",$B$2="",$F$2="",P338&lt;$B$2,P338&gt;$F$2),"",IF(Q338=0,0,IF(P338&lt;$G$7,0,IF(P338&gt;=INDEX($G$7:$G$106,Q338),Q338,MATCH(P338,$G$7:$G$106,1)))))</x:f>
      </x:c>
      <x:c r="S338" t="str">
        <x:f>IF(R338="","",IF(R338=0,$B$2,INDEX($G$7:$G$106,R338)))</x:f>
      </x:c>
      <x:c r="T338" s="14" t="str">
        <x:f>IF(R338="","",IF(R338=0,0,INDEX($H$7:$H$106,R338)))</x:f>
      </x:c>
      <x:c r="U338" t="str">
        <x:f>IF(R338="","",IF(Q338=0,$F$2,IF(R338=0,$G$7,IF(R338&lt;Q338,INDEX($G$7:$G$106,R338+1),$F$2))))</x:f>
      </x:c>
      <x:c r="V338" s="14" t="str">
        <x:f>IF(R338="","",IF(Q338=0,$H$2,IF(R338=0,$H$7,IF(R338&lt;Q338,INDEX($H$7:$H$106,R338+1),$H$2))))</x:f>
      </x:c>
      <x:c r="W338" s="188" t="str">
        <x:f>IF(R338="","",IF(U338=S338,1,MAX(0,MIN(1,(P338-S338)/(U338-S338)))))</x:f>
      </x:c>
    </x:row>
    <x:row r="339">
      <x:c r="A339" s="159" t="str">
        <x:f>IF(OR(A338="",A338&gt;=$D$2),"",A338+1)</x:f>
      </x:c>
      <x:c r="B339" s="162" t="str">
        <x:f>IF(A339="","",IFERROR(SUMPRODUCT(--('Project Plan'!$A$7:$A$206&lt;&gt;""),('Project Plan'!$P$7:$P$206+('Project Plan'!$P$7:$P$206="")),--('Project Plan'!$F$7:$F$206&lt;&gt;""),--('Project Plan'!$G$7:$G$206&lt;&gt;""),((A339&gt;='Project Plan'!$G$7:$G$206)+((A339&gt;='Project Plan'!$F$7:$F$206)*(A339&lt;'Project Plan'!$G$7:$G$206)*(A339-'Project Plan'!$F$7:$F$206+1)/('Project Plan'!$G$7:$G$206-'Project Plan'!$F$7:$F$206+1))))/SUMPRODUCT(--('Project Plan'!$A$7:$A$206&lt;&gt;""),('Project Plan'!$P$7:$P$206+('Project Plan'!$P$7:$P$206=""))),0))</x:f>
      </x:c>
      <x:c r="C339" s="162" t="str">
        <x:f>IF(A339="","",IF(A339&gt;$F$2,"",IF(A339=$F$2,$H$2,IFERROR(LOOKUP(2,1/(($G$7:$G$106&lt;&gt;"")*($G$7:$G$106&lt;=A339)),$H$7:$H$106),""))))</x:f>
      </x:c>
      <x:c r="D339" s="162" t="str">
        <x:f>IF(C339="","",C339-B339)</x:f>
      </x:c>
      <x:c r="E339" s="163" t="str">
        <x:f>IF(D339="","",IF(D339&gt;=0,"On / Ahead",IF(D339&gt;=-0.05,"Watch","Behind")))</x:f>
      </x:c>
      <x:c r="J339"/>
      <x:c r="K339"/>
      <x:c r="L339"/>
      <x:c r="M339" t="str">
        <x:f>IF(A339="","",TEXT(A339,"mmm d"))</x:f>
      </x:c>
      <x:c r="N339" s="14" t="e">
        <x:f>IF(B339="",NA(),B339)</x:f>
        <x:v>#N/A</x:v>
      </x:c>
      <x:c r="O339" s="14" t="e">
        <x:f>IF(OR(P339="",$B$2="",$F$2="",P339&lt;$B$2,P339&gt;$F$2),NA(),IF(Q339=0,IF($F$2=$B$2,$H$2,MAX(0,MIN(1,$H$2*(3*MAX(0,MIN(1,(P339-$B$2)/($F$2-$B$2)))^2-2*MAX(0,MIN(1,(P339-$B$2)/($F$2-$B$2)))^3)))),MAX(0,MIN(1,T339+(V339-T339)*(3*W339^2-2*W339^3)))))</x:f>
        <x:v>#N/A</x:v>
      </x:c>
      <x:c r="P339" s="189" t="str">
        <x:f>A339</x:f>
      </x:c>
      <x:c r="Q339" t="n">
        <x:f>COUNT($G$7:$G$106)</x:f>
        <x:v>0</x:v>
      </x:c>
      <x:c r="R339" t="str">
        <x:f>IF(OR(P339="",$B$2="",$F$2="",P339&lt;$B$2,P339&gt;$F$2),"",IF(Q339=0,0,IF(P339&lt;$G$7,0,IF(P339&gt;=INDEX($G$7:$G$106,Q339),Q339,MATCH(P339,$G$7:$G$106,1)))))</x:f>
      </x:c>
      <x:c r="S339" t="str">
        <x:f>IF(R339="","",IF(R339=0,$B$2,INDEX($G$7:$G$106,R339)))</x:f>
      </x:c>
      <x:c r="T339" s="14" t="str">
        <x:f>IF(R339="","",IF(R339=0,0,INDEX($H$7:$H$106,R339)))</x:f>
      </x:c>
      <x:c r="U339" t="str">
        <x:f>IF(R339="","",IF(Q339=0,$F$2,IF(R339=0,$G$7,IF(R339&lt;Q339,INDEX($G$7:$G$106,R339+1),$F$2))))</x:f>
      </x:c>
      <x:c r="V339" s="14" t="str">
        <x:f>IF(R339="","",IF(Q339=0,$H$2,IF(R339=0,$H$7,IF(R339&lt;Q339,INDEX($H$7:$H$106,R339+1),$H$2))))</x:f>
      </x:c>
      <x:c r="W339" s="188" t="str">
        <x:f>IF(R339="","",IF(U339=S339,1,MAX(0,MIN(1,(P339-S339)/(U339-S339)))))</x:f>
      </x:c>
    </x:row>
    <x:row r="340">
      <x:c r="A340" s="159" t="str">
        <x:f>IF(OR(A339="",A339&gt;=$D$2),"",A339+1)</x:f>
      </x:c>
      <x:c r="B340" s="162" t="str">
        <x:f>IF(A340="","",IFERROR(SUMPRODUCT(--('Project Plan'!$A$7:$A$206&lt;&gt;""),('Project Plan'!$P$7:$P$206+('Project Plan'!$P$7:$P$206="")),--('Project Plan'!$F$7:$F$206&lt;&gt;""),--('Project Plan'!$G$7:$G$206&lt;&gt;""),((A340&gt;='Project Plan'!$G$7:$G$206)+((A340&gt;='Project Plan'!$F$7:$F$206)*(A340&lt;'Project Plan'!$G$7:$G$206)*(A340-'Project Plan'!$F$7:$F$206+1)/('Project Plan'!$G$7:$G$206-'Project Plan'!$F$7:$F$206+1))))/SUMPRODUCT(--('Project Plan'!$A$7:$A$206&lt;&gt;""),('Project Plan'!$P$7:$P$206+('Project Plan'!$P$7:$P$206=""))),0))</x:f>
      </x:c>
      <x:c r="C340" s="162" t="str">
        <x:f>IF(A340="","",IF(A340&gt;$F$2,"",IF(A340=$F$2,$H$2,IFERROR(LOOKUP(2,1/(($G$7:$G$106&lt;&gt;"")*($G$7:$G$106&lt;=A340)),$H$7:$H$106),""))))</x:f>
      </x:c>
      <x:c r="D340" s="162" t="str">
        <x:f>IF(C340="","",C340-B340)</x:f>
      </x:c>
      <x:c r="E340" s="163" t="str">
        <x:f>IF(D340="","",IF(D340&gt;=0,"On / Ahead",IF(D340&gt;=-0.05,"Watch","Behind")))</x:f>
      </x:c>
      <x:c r="J340"/>
      <x:c r="K340"/>
      <x:c r="L340"/>
      <x:c r="M340" t="str">
        <x:f>IF(A340="","",TEXT(A340,"mmm d"))</x:f>
      </x:c>
      <x:c r="N340" s="14" t="e">
        <x:f>IF(B340="",NA(),B340)</x:f>
        <x:v>#N/A</x:v>
      </x:c>
      <x:c r="O340" s="14" t="e">
        <x:f>IF(OR(P340="",$B$2="",$F$2="",P340&lt;$B$2,P340&gt;$F$2),NA(),IF(Q340=0,IF($F$2=$B$2,$H$2,MAX(0,MIN(1,$H$2*(3*MAX(0,MIN(1,(P340-$B$2)/($F$2-$B$2)))^2-2*MAX(0,MIN(1,(P340-$B$2)/($F$2-$B$2)))^3)))),MAX(0,MIN(1,T340+(V340-T340)*(3*W340^2-2*W340^3)))))</x:f>
        <x:v>#N/A</x:v>
      </x:c>
      <x:c r="P340" s="189" t="str">
        <x:f>A340</x:f>
      </x:c>
      <x:c r="Q340" t="n">
        <x:f>COUNT($G$7:$G$106)</x:f>
        <x:v>0</x:v>
      </x:c>
      <x:c r="R340" t="str">
        <x:f>IF(OR(P340="",$B$2="",$F$2="",P340&lt;$B$2,P340&gt;$F$2),"",IF(Q340=0,0,IF(P340&lt;$G$7,0,IF(P340&gt;=INDEX($G$7:$G$106,Q340),Q340,MATCH(P340,$G$7:$G$106,1)))))</x:f>
      </x:c>
      <x:c r="S340" t="str">
        <x:f>IF(R340="","",IF(R340=0,$B$2,INDEX($G$7:$G$106,R340)))</x:f>
      </x:c>
      <x:c r="T340" s="14" t="str">
        <x:f>IF(R340="","",IF(R340=0,0,INDEX($H$7:$H$106,R340)))</x:f>
      </x:c>
      <x:c r="U340" t="str">
        <x:f>IF(R340="","",IF(Q340=0,$F$2,IF(R340=0,$G$7,IF(R340&lt;Q340,INDEX($G$7:$G$106,R340+1),$F$2))))</x:f>
      </x:c>
      <x:c r="V340" s="14" t="str">
        <x:f>IF(R340="","",IF(Q340=0,$H$2,IF(R340=0,$H$7,IF(R340&lt;Q340,INDEX($H$7:$H$106,R340+1),$H$2))))</x:f>
      </x:c>
      <x:c r="W340" s="188" t="str">
        <x:f>IF(R340="","",IF(U340=S340,1,MAX(0,MIN(1,(P340-S340)/(U340-S340)))))</x:f>
      </x:c>
    </x:row>
    <x:row r="341">
      <x:c r="A341" s="159" t="str">
        <x:f>IF(OR(A340="",A340&gt;=$D$2),"",A340+1)</x:f>
      </x:c>
      <x:c r="B341" s="162" t="str">
        <x:f>IF(A341="","",IFERROR(SUMPRODUCT(--('Project Plan'!$A$7:$A$206&lt;&gt;""),('Project Plan'!$P$7:$P$206+('Project Plan'!$P$7:$P$206="")),--('Project Plan'!$F$7:$F$206&lt;&gt;""),--('Project Plan'!$G$7:$G$206&lt;&gt;""),((A341&gt;='Project Plan'!$G$7:$G$206)+((A341&gt;='Project Plan'!$F$7:$F$206)*(A341&lt;'Project Plan'!$G$7:$G$206)*(A341-'Project Plan'!$F$7:$F$206+1)/('Project Plan'!$G$7:$G$206-'Project Plan'!$F$7:$F$206+1))))/SUMPRODUCT(--('Project Plan'!$A$7:$A$206&lt;&gt;""),('Project Plan'!$P$7:$P$206+('Project Plan'!$P$7:$P$206=""))),0))</x:f>
      </x:c>
      <x:c r="C341" s="162" t="str">
        <x:f>IF(A341="","",IF(A341&gt;$F$2,"",IF(A341=$F$2,$H$2,IFERROR(LOOKUP(2,1/(($G$7:$G$106&lt;&gt;"")*($G$7:$G$106&lt;=A341)),$H$7:$H$106),""))))</x:f>
      </x:c>
      <x:c r="D341" s="162" t="str">
        <x:f>IF(C341="","",C341-B341)</x:f>
      </x:c>
      <x:c r="E341" s="163" t="str">
        <x:f>IF(D341="","",IF(D341&gt;=0,"On / Ahead",IF(D341&gt;=-0.05,"Watch","Behind")))</x:f>
      </x:c>
      <x:c r="J341"/>
      <x:c r="K341"/>
      <x:c r="L341"/>
      <x:c r="M341" t="str">
        <x:f>IF(A341="","",TEXT(A341,"mmm d"))</x:f>
      </x:c>
      <x:c r="N341" s="14" t="e">
        <x:f>IF(B341="",NA(),B341)</x:f>
        <x:v>#N/A</x:v>
      </x:c>
      <x:c r="O341" s="14" t="e">
        <x:f>IF(OR(P341="",$B$2="",$F$2="",P341&lt;$B$2,P341&gt;$F$2),NA(),IF(Q341=0,IF($F$2=$B$2,$H$2,MAX(0,MIN(1,$H$2*(3*MAX(0,MIN(1,(P341-$B$2)/($F$2-$B$2)))^2-2*MAX(0,MIN(1,(P341-$B$2)/($F$2-$B$2)))^3)))),MAX(0,MIN(1,T341+(V341-T341)*(3*W341^2-2*W341^3)))))</x:f>
        <x:v>#N/A</x:v>
      </x:c>
      <x:c r="P341" s="189" t="str">
        <x:f>A341</x:f>
      </x:c>
      <x:c r="Q341" t="n">
        <x:f>COUNT($G$7:$G$106)</x:f>
        <x:v>0</x:v>
      </x:c>
      <x:c r="R341" t="str">
        <x:f>IF(OR(P341="",$B$2="",$F$2="",P341&lt;$B$2,P341&gt;$F$2),"",IF(Q341=0,0,IF(P341&lt;$G$7,0,IF(P341&gt;=INDEX($G$7:$G$106,Q341),Q341,MATCH(P341,$G$7:$G$106,1)))))</x:f>
      </x:c>
      <x:c r="S341" t="str">
        <x:f>IF(R341="","",IF(R341=0,$B$2,INDEX($G$7:$G$106,R341)))</x:f>
      </x:c>
      <x:c r="T341" s="14" t="str">
        <x:f>IF(R341="","",IF(R341=0,0,INDEX($H$7:$H$106,R341)))</x:f>
      </x:c>
      <x:c r="U341" t="str">
        <x:f>IF(R341="","",IF(Q341=0,$F$2,IF(R341=0,$G$7,IF(R341&lt;Q341,INDEX($G$7:$G$106,R341+1),$F$2))))</x:f>
      </x:c>
      <x:c r="V341" s="14" t="str">
        <x:f>IF(R341="","",IF(Q341=0,$H$2,IF(R341=0,$H$7,IF(R341&lt;Q341,INDEX($H$7:$H$106,R341+1),$H$2))))</x:f>
      </x:c>
      <x:c r="W341" s="188" t="str">
        <x:f>IF(R341="","",IF(U341=S341,1,MAX(0,MIN(1,(P341-S341)/(U341-S341)))))</x:f>
      </x:c>
    </x:row>
    <x:row r="342">
      <x:c r="A342" s="159" t="str">
        <x:f>IF(OR(A341="",A341&gt;=$D$2),"",A341+1)</x:f>
      </x:c>
      <x:c r="B342" s="162" t="str">
        <x:f>IF(A342="","",IFERROR(SUMPRODUCT(--('Project Plan'!$A$7:$A$206&lt;&gt;""),('Project Plan'!$P$7:$P$206+('Project Plan'!$P$7:$P$206="")),--('Project Plan'!$F$7:$F$206&lt;&gt;""),--('Project Plan'!$G$7:$G$206&lt;&gt;""),((A342&gt;='Project Plan'!$G$7:$G$206)+((A342&gt;='Project Plan'!$F$7:$F$206)*(A342&lt;'Project Plan'!$G$7:$G$206)*(A342-'Project Plan'!$F$7:$F$206+1)/('Project Plan'!$G$7:$G$206-'Project Plan'!$F$7:$F$206+1))))/SUMPRODUCT(--('Project Plan'!$A$7:$A$206&lt;&gt;""),('Project Plan'!$P$7:$P$206+('Project Plan'!$P$7:$P$206=""))),0))</x:f>
      </x:c>
      <x:c r="C342" s="162" t="str">
        <x:f>IF(A342="","",IF(A342&gt;$F$2,"",IF(A342=$F$2,$H$2,IFERROR(LOOKUP(2,1/(($G$7:$G$106&lt;&gt;"")*($G$7:$G$106&lt;=A342)),$H$7:$H$106),""))))</x:f>
      </x:c>
      <x:c r="D342" s="162" t="str">
        <x:f>IF(C342="","",C342-B342)</x:f>
      </x:c>
      <x:c r="E342" s="163" t="str">
        <x:f>IF(D342="","",IF(D342&gt;=0,"On / Ahead",IF(D342&gt;=-0.05,"Watch","Behind")))</x:f>
      </x:c>
      <x:c r="J342"/>
      <x:c r="K342"/>
      <x:c r="L342"/>
      <x:c r="M342" t="str">
        <x:f>IF(A342="","",TEXT(A342,"mmm d"))</x:f>
      </x:c>
      <x:c r="N342" s="14" t="e">
        <x:f>IF(B342="",NA(),B342)</x:f>
        <x:v>#N/A</x:v>
      </x:c>
      <x:c r="O342" s="14" t="e">
        <x:f>IF(OR(P342="",$B$2="",$F$2="",P342&lt;$B$2,P342&gt;$F$2),NA(),IF(Q342=0,IF($F$2=$B$2,$H$2,MAX(0,MIN(1,$H$2*(3*MAX(0,MIN(1,(P342-$B$2)/($F$2-$B$2)))^2-2*MAX(0,MIN(1,(P342-$B$2)/($F$2-$B$2)))^3)))),MAX(0,MIN(1,T342+(V342-T342)*(3*W342^2-2*W342^3)))))</x:f>
        <x:v>#N/A</x:v>
      </x:c>
      <x:c r="P342" s="189" t="str">
        <x:f>A342</x:f>
      </x:c>
      <x:c r="Q342" t="n">
        <x:f>COUNT($G$7:$G$106)</x:f>
        <x:v>0</x:v>
      </x:c>
      <x:c r="R342" t="str">
        <x:f>IF(OR(P342="",$B$2="",$F$2="",P342&lt;$B$2,P342&gt;$F$2),"",IF(Q342=0,0,IF(P342&lt;$G$7,0,IF(P342&gt;=INDEX($G$7:$G$106,Q342),Q342,MATCH(P342,$G$7:$G$106,1)))))</x:f>
      </x:c>
      <x:c r="S342" t="str">
        <x:f>IF(R342="","",IF(R342=0,$B$2,INDEX($G$7:$G$106,R342)))</x:f>
      </x:c>
      <x:c r="T342" s="14" t="str">
        <x:f>IF(R342="","",IF(R342=0,0,INDEX($H$7:$H$106,R342)))</x:f>
      </x:c>
      <x:c r="U342" t="str">
        <x:f>IF(R342="","",IF(Q342=0,$F$2,IF(R342=0,$G$7,IF(R342&lt;Q342,INDEX($G$7:$G$106,R342+1),$F$2))))</x:f>
      </x:c>
      <x:c r="V342" s="14" t="str">
        <x:f>IF(R342="","",IF(Q342=0,$H$2,IF(R342=0,$H$7,IF(R342&lt;Q342,INDEX($H$7:$H$106,R342+1),$H$2))))</x:f>
      </x:c>
      <x:c r="W342" s="188" t="str">
        <x:f>IF(R342="","",IF(U342=S342,1,MAX(0,MIN(1,(P342-S342)/(U342-S342)))))</x:f>
      </x:c>
    </x:row>
    <x:row r="343">
      <x:c r="A343" s="159" t="str">
        <x:f>IF(OR(A342="",A342&gt;=$D$2),"",A342+1)</x:f>
      </x:c>
      <x:c r="B343" s="162" t="str">
        <x:f>IF(A343="","",IFERROR(SUMPRODUCT(--('Project Plan'!$A$7:$A$206&lt;&gt;""),('Project Plan'!$P$7:$P$206+('Project Plan'!$P$7:$P$206="")),--('Project Plan'!$F$7:$F$206&lt;&gt;""),--('Project Plan'!$G$7:$G$206&lt;&gt;""),((A343&gt;='Project Plan'!$G$7:$G$206)+((A343&gt;='Project Plan'!$F$7:$F$206)*(A343&lt;'Project Plan'!$G$7:$G$206)*(A343-'Project Plan'!$F$7:$F$206+1)/('Project Plan'!$G$7:$G$206-'Project Plan'!$F$7:$F$206+1))))/SUMPRODUCT(--('Project Plan'!$A$7:$A$206&lt;&gt;""),('Project Plan'!$P$7:$P$206+('Project Plan'!$P$7:$P$206=""))),0))</x:f>
      </x:c>
      <x:c r="C343" s="162" t="str">
        <x:f>IF(A343="","",IF(A343&gt;$F$2,"",IF(A343=$F$2,$H$2,IFERROR(LOOKUP(2,1/(($G$7:$G$106&lt;&gt;"")*($G$7:$G$106&lt;=A343)),$H$7:$H$106),""))))</x:f>
      </x:c>
      <x:c r="D343" s="162" t="str">
        <x:f>IF(C343="","",C343-B343)</x:f>
      </x:c>
      <x:c r="E343" s="163" t="str">
        <x:f>IF(D343="","",IF(D343&gt;=0,"On / Ahead",IF(D343&gt;=-0.05,"Watch","Behind")))</x:f>
      </x:c>
      <x:c r="J343"/>
      <x:c r="K343"/>
      <x:c r="L343"/>
      <x:c r="M343" t="str">
        <x:f>IF(A343="","",TEXT(A343,"mmm d"))</x:f>
      </x:c>
      <x:c r="N343" s="14" t="e">
        <x:f>IF(B343="",NA(),B343)</x:f>
        <x:v>#N/A</x:v>
      </x:c>
      <x:c r="O343" s="14" t="e">
        <x:f>IF(OR(P343="",$B$2="",$F$2="",P343&lt;$B$2,P343&gt;$F$2),NA(),IF(Q343=0,IF($F$2=$B$2,$H$2,MAX(0,MIN(1,$H$2*(3*MAX(0,MIN(1,(P343-$B$2)/($F$2-$B$2)))^2-2*MAX(0,MIN(1,(P343-$B$2)/($F$2-$B$2)))^3)))),MAX(0,MIN(1,T343+(V343-T343)*(3*W343^2-2*W343^3)))))</x:f>
        <x:v>#N/A</x:v>
      </x:c>
      <x:c r="P343" s="189" t="str">
        <x:f>A343</x:f>
      </x:c>
      <x:c r="Q343" t="n">
        <x:f>COUNT($G$7:$G$106)</x:f>
        <x:v>0</x:v>
      </x:c>
      <x:c r="R343" t="str">
        <x:f>IF(OR(P343="",$B$2="",$F$2="",P343&lt;$B$2,P343&gt;$F$2),"",IF(Q343=0,0,IF(P343&lt;$G$7,0,IF(P343&gt;=INDEX($G$7:$G$106,Q343),Q343,MATCH(P343,$G$7:$G$106,1)))))</x:f>
      </x:c>
      <x:c r="S343" t="str">
        <x:f>IF(R343="","",IF(R343=0,$B$2,INDEX($G$7:$G$106,R343)))</x:f>
      </x:c>
      <x:c r="T343" s="14" t="str">
        <x:f>IF(R343="","",IF(R343=0,0,INDEX($H$7:$H$106,R343)))</x:f>
      </x:c>
      <x:c r="U343" t="str">
        <x:f>IF(R343="","",IF(Q343=0,$F$2,IF(R343=0,$G$7,IF(R343&lt;Q343,INDEX($G$7:$G$106,R343+1),$F$2))))</x:f>
      </x:c>
      <x:c r="V343" s="14" t="str">
        <x:f>IF(R343="","",IF(Q343=0,$H$2,IF(R343=0,$H$7,IF(R343&lt;Q343,INDEX($H$7:$H$106,R343+1),$H$2))))</x:f>
      </x:c>
      <x:c r="W343" s="188" t="str">
        <x:f>IF(R343="","",IF(U343=S343,1,MAX(0,MIN(1,(P343-S343)/(U343-S343)))))</x:f>
      </x:c>
    </x:row>
    <x:row r="344">
      <x:c r="A344" s="159" t="str">
        <x:f>IF(OR(A343="",A343&gt;=$D$2),"",A343+1)</x:f>
      </x:c>
      <x:c r="B344" s="162" t="str">
        <x:f>IF(A344="","",IFERROR(SUMPRODUCT(--('Project Plan'!$A$7:$A$206&lt;&gt;""),('Project Plan'!$P$7:$P$206+('Project Plan'!$P$7:$P$206="")),--('Project Plan'!$F$7:$F$206&lt;&gt;""),--('Project Plan'!$G$7:$G$206&lt;&gt;""),((A344&gt;='Project Plan'!$G$7:$G$206)+((A344&gt;='Project Plan'!$F$7:$F$206)*(A344&lt;'Project Plan'!$G$7:$G$206)*(A344-'Project Plan'!$F$7:$F$206+1)/('Project Plan'!$G$7:$G$206-'Project Plan'!$F$7:$F$206+1))))/SUMPRODUCT(--('Project Plan'!$A$7:$A$206&lt;&gt;""),('Project Plan'!$P$7:$P$206+('Project Plan'!$P$7:$P$206=""))),0))</x:f>
      </x:c>
      <x:c r="C344" s="162" t="str">
        <x:f>IF(A344="","",IF(A344&gt;$F$2,"",IF(A344=$F$2,$H$2,IFERROR(LOOKUP(2,1/(($G$7:$G$106&lt;&gt;"")*($G$7:$G$106&lt;=A344)),$H$7:$H$106),""))))</x:f>
      </x:c>
      <x:c r="D344" s="162" t="str">
        <x:f>IF(C344="","",C344-B344)</x:f>
      </x:c>
      <x:c r="E344" s="163" t="str">
        <x:f>IF(D344="","",IF(D344&gt;=0,"On / Ahead",IF(D344&gt;=-0.05,"Watch","Behind")))</x:f>
      </x:c>
      <x:c r="J344"/>
      <x:c r="K344"/>
      <x:c r="L344"/>
      <x:c r="M344" t="str">
        <x:f>IF(A344="","",TEXT(A344,"mmm d"))</x:f>
      </x:c>
      <x:c r="N344" s="14" t="e">
        <x:f>IF(B344="",NA(),B344)</x:f>
        <x:v>#N/A</x:v>
      </x:c>
      <x:c r="O344" s="14" t="e">
        <x:f>IF(OR(P344="",$B$2="",$F$2="",P344&lt;$B$2,P344&gt;$F$2),NA(),IF(Q344=0,IF($F$2=$B$2,$H$2,MAX(0,MIN(1,$H$2*(3*MAX(0,MIN(1,(P344-$B$2)/($F$2-$B$2)))^2-2*MAX(0,MIN(1,(P344-$B$2)/($F$2-$B$2)))^3)))),MAX(0,MIN(1,T344+(V344-T344)*(3*W344^2-2*W344^3)))))</x:f>
        <x:v>#N/A</x:v>
      </x:c>
      <x:c r="P344" s="189" t="str">
        <x:f>A344</x:f>
      </x:c>
      <x:c r="Q344" t="n">
        <x:f>COUNT($G$7:$G$106)</x:f>
        <x:v>0</x:v>
      </x:c>
      <x:c r="R344" t="str">
        <x:f>IF(OR(P344="",$B$2="",$F$2="",P344&lt;$B$2,P344&gt;$F$2),"",IF(Q344=0,0,IF(P344&lt;$G$7,0,IF(P344&gt;=INDEX($G$7:$G$106,Q344),Q344,MATCH(P344,$G$7:$G$106,1)))))</x:f>
      </x:c>
      <x:c r="S344" t="str">
        <x:f>IF(R344="","",IF(R344=0,$B$2,INDEX($G$7:$G$106,R344)))</x:f>
      </x:c>
      <x:c r="T344" s="14" t="str">
        <x:f>IF(R344="","",IF(R344=0,0,INDEX($H$7:$H$106,R344)))</x:f>
      </x:c>
      <x:c r="U344" t="str">
        <x:f>IF(R344="","",IF(Q344=0,$F$2,IF(R344=0,$G$7,IF(R344&lt;Q344,INDEX($G$7:$G$106,R344+1),$F$2))))</x:f>
      </x:c>
      <x:c r="V344" s="14" t="str">
        <x:f>IF(R344="","",IF(Q344=0,$H$2,IF(R344=0,$H$7,IF(R344&lt;Q344,INDEX($H$7:$H$106,R344+1),$H$2))))</x:f>
      </x:c>
      <x:c r="W344" s="188" t="str">
        <x:f>IF(R344="","",IF(U344=S344,1,MAX(0,MIN(1,(P344-S344)/(U344-S344)))))</x:f>
      </x:c>
    </x:row>
    <x:row r="345">
      <x:c r="A345" s="159" t="str">
        <x:f>IF(OR(A344="",A344&gt;=$D$2),"",A344+1)</x:f>
      </x:c>
      <x:c r="B345" s="162" t="str">
        <x:f>IF(A345="","",IFERROR(SUMPRODUCT(--('Project Plan'!$A$7:$A$206&lt;&gt;""),('Project Plan'!$P$7:$P$206+('Project Plan'!$P$7:$P$206="")),--('Project Plan'!$F$7:$F$206&lt;&gt;""),--('Project Plan'!$G$7:$G$206&lt;&gt;""),((A345&gt;='Project Plan'!$G$7:$G$206)+((A345&gt;='Project Plan'!$F$7:$F$206)*(A345&lt;'Project Plan'!$G$7:$G$206)*(A345-'Project Plan'!$F$7:$F$206+1)/('Project Plan'!$G$7:$G$206-'Project Plan'!$F$7:$F$206+1))))/SUMPRODUCT(--('Project Plan'!$A$7:$A$206&lt;&gt;""),('Project Plan'!$P$7:$P$206+('Project Plan'!$P$7:$P$206=""))),0))</x:f>
      </x:c>
      <x:c r="C345" s="162" t="str">
        <x:f>IF(A345="","",IF(A345&gt;$F$2,"",IF(A345=$F$2,$H$2,IFERROR(LOOKUP(2,1/(($G$7:$G$106&lt;&gt;"")*($G$7:$G$106&lt;=A345)),$H$7:$H$106),""))))</x:f>
      </x:c>
      <x:c r="D345" s="162" t="str">
        <x:f>IF(C345="","",C345-B345)</x:f>
      </x:c>
      <x:c r="E345" s="163" t="str">
        <x:f>IF(D345="","",IF(D345&gt;=0,"On / Ahead",IF(D345&gt;=-0.05,"Watch","Behind")))</x:f>
      </x:c>
      <x:c r="J345"/>
      <x:c r="K345"/>
      <x:c r="L345"/>
      <x:c r="M345" t="str">
        <x:f>IF(A345="","",TEXT(A345,"mmm d"))</x:f>
      </x:c>
      <x:c r="N345" s="14" t="e">
        <x:f>IF(B345="",NA(),B345)</x:f>
        <x:v>#N/A</x:v>
      </x:c>
      <x:c r="O345" s="14" t="e">
        <x:f>IF(OR(P345="",$B$2="",$F$2="",P345&lt;$B$2,P345&gt;$F$2),NA(),IF(Q345=0,IF($F$2=$B$2,$H$2,MAX(0,MIN(1,$H$2*(3*MAX(0,MIN(1,(P345-$B$2)/($F$2-$B$2)))^2-2*MAX(0,MIN(1,(P345-$B$2)/($F$2-$B$2)))^3)))),MAX(0,MIN(1,T345+(V345-T345)*(3*W345^2-2*W345^3)))))</x:f>
        <x:v>#N/A</x:v>
      </x:c>
      <x:c r="P345" s="189" t="str">
        <x:f>A345</x:f>
      </x:c>
      <x:c r="Q345" t="n">
        <x:f>COUNT($G$7:$G$106)</x:f>
        <x:v>0</x:v>
      </x:c>
      <x:c r="R345" t="str">
        <x:f>IF(OR(P345="",$B$2="",$F$2="",P345&lt;$B$2,P345&gt;$F$2),"",IF(Q345=0,0,IF(P345&lt;$G$7,0,IF(P345&gt;=INDEX($G$7:$G$106,Q345),Q345,MATCH(P345,$G$7:$G$106,1)))))</x:f>
      </x:c>
      <x:c r="S345" t="str">
        <x:f>IF(R345="","",IF(R345=0,$B$2,INDEX($G$7:$G$106,R345)))</x:f>
      </x:c>
      <x:c r="T345" s="14" t="str">
        <x:f>IF(R345="","",IF(R345=0,0,INDEX($H$7:$H$106,R345)))</x:f>
      </x:c>
      <x:c r="U345" t="str">
        <x:f>IF(R345="","",IF(Q345=0,$F$2,IF(R345=0,$G$7,IF(R345&lt;Q345,INDEX($G$7:$G$106,R345+1),$F$2))))</x:f>
      </x:c>
      <x:c r="V345" s="14" t="str">
        <x:f>IF(R345="","",IF(Q345=0,$H$2,IF(R345=0,$H$7,IF(R345&lt;Q345,INDEX($H$7:$H$106,R345+1),$H$2))))</x:f>
      </x:c>
      <x:c r="W345" s="188" t="str">
        <x:f>IF(R345="","",IF(U345=S345,1,MAX(0,MIN(1,(P345-S345)/(U345-S345)))))</x:f>
      </x:c>
    </x:row>
    <x:row r="346">
      <x:c r="A346" s="159" t="str">
        <x:f>IF(OR(A345="",A345&gt;=$D$2),"",A345+1)</x:f>
      </x:c>
      <x:c r="B346" s="162" t="str">
        <x:f>IF(A346="","",IFERROR(SUMPRODUCT(--('Project Plan'!$A$7:$A$206&lt;&gt;""),('Project Plan'!$P$7:$P$206+('Project Plan'!$P$7:$P$206="")),--('Project Plan'!$F$7:$F$206&lt;&gt;""),--('Project Plan'!$G$7:$G$206&lt;&gt;""),((A346&gt;='Project Plan'!$G$7:$G$206)+((A346&gt;='Project Plan'!$F$7:$F$206)*(A346&lt;'Project Plan'!$G$7:$G$206)*(A346-'Project Plan'!$F$7:$F$206+1)/('Project Plan'!$G$7:$G$206-'Project Plan'!$F$7:$F$206+1))))/SUMPRODUCT(--('Project Plan'!$A$7:$A$206&lt;&gt;""),('Project Plan'!$P$7:$P$206+('Project Plan'!$P$7:$P$206=""))),0))</x:f>
      </x:c>
      <x:c r="C346" s="162" t="str">
        <x:f>IF(A346="","",IF(A346&gt;$F$2,"",IF(A346=$F$2,$H$2,IFERROR(LOOKUP(2,1/(($G$7:$G$106&lt;&gt;"")*($G$7:$G$106&lt;=A346)),$H$7:$H$106),""))))</x:f>
      </x:c>
      <x:c r="D346" s="162" t="str">
        <x:f>IF(C346="","",C346-B346)</x:f>
      </x:c>
      <x:c r="E346" s="163" t="str">
        <x:f>IF(D346="","",IF(D346&gt;=0,"On / Ahead",IF(D346&gt;=-0.05,"Watch","Behind")))</x:f>
      </x:c>
      <x:c r="J346"/>
      <x:c r="K346"/>
      <x:c r="L346"/>
      <x:c r="M346" t="str">
        <x:f>IF(A346="","",TEXT(A346,"mmm d"))</x:f>
      </x:c>
      <x:c r="N346" s="14" t="e">
        <x:f>IF(B346="",NA(),B346)</x:f>
        <x:v>#N/A</x:v>
      </x:c>
      <x:c r="O346" s="14" t="e">
        <x:f>IF(OR(P346="",$B$2="",$F$2="",P346&lt;$B$2,P346&gt;$F$2),NA(),IF(Q346=0,IF($F$2=$B$2,$H$2,MAX(0,MIN(1,$H$2*(3*MAX(0,MIN(1,(P346-$B$2)/($F$2-$B$2)))^2-2*MAX(0,MIN(1,(P346-$B$2)/($F$2-$B$2)))^3)))),MAX(0,MIN(1,T346+(V346-T346)*(3*W346^2-2*W346^3)))))</x:f>
        <x:v>#N/A</x:v>
      </x:c>
      <x:c r="P346" s="189" t="str">
        <x:f>A346</x:f>
      </x:c>
      <x:c r="Q346" t="n">
        <x:f>COUNT($G$7:$G$106)</x:f>
        <x:v>0</x:v>
      </x:c>
      <x:c r="R346" t="str">
        <x:f>IF(OR(P346="",$B$2="",$F$2="",P346&lt;$B$2,P346&gt;$F$2),"",IF(Q346=0,0,IF(P346&lt;$G$7,0,IF(P346&gt;=INDEX($G$7:$G$106,Q346),Q346,MATCH(P346,$G$7:$G$106,1)))))</x:f>
      </x:c>
      <x:c r="S346" t="str">
        <x:f>IF(R346="","",IF(R346=0,$B$2,INDEX($G$7:$G$106,R346)))</x:f>
      </x:c>
      <x:c r="T346" s="14" t="str">
        <x:f>IF(R346="","",IF(R346=0,0,INDEX($H$7:$H$106,R346)))</x:f>
      </x:c>
      <x:c r="U346" t="str">
        <x:f>IF(R346="","",IF(Q346=0,$F$2,IF(R346=0,$G$7,IF(R346&lt;Q346,INDEX($G$7:$G$106,R346+1),$F$2))))</x:f>
      </x:c>
      <x:c r="V346" s="14" t="str">
        <x:f>IF(R346="","",IF(Q346=0,$H$2,IF(R346=0,$H$7,IF(R346&lt;Q346,INDEX($H$7:$H$106,R346+1),$H$2))))</x:f>
      </x:c>
      <x:c r="W346" s="188" t="str">
        <x:f>IF(R346="","",IF(U346=S346,1,MAX(0,MIN(1,(P346-S346)/(U346-S346)))))</x:f>
      </x:c>
    </x:row>
    <x:row r="347">
      <x:c r="A347" s="159" t="str">
        <x:f>IF(OR(A346="",A346&gt;=$D$2),"",A346+1)</x:f>
      </x:c>
      <x:c r="B347" s="162" t="str">
        <x:f>IF(A347="","",IFERROR(SUMPRODUCT(--('Project Plan'!$A$7:$A$206&lt;&gt;""),('Project Plan'!$P$7:$P$206+('Project Plan'!$P$7:$P$206="")),--('Project Plan'!$F$7:$F$206&lt;&gt;""),--('Project Plan'!$G$7:$G$206&lt;&gt;""),((A347&gt;='Project Plan'!$G$7:$G$206)+((A347&gt;='Project Plan'!$F$7:$F$206)*(A347&lt;'Project Plan'!$G$7:$G$206)*(A347-'Project Plan'!$F$7:$F$206+1)/('Project Plan'!$G$7:$G$206-'Project Plan'!$F$7:$F$206+1))))/SUMPRODUCT(--('Project Plan'!$A$7:$A$206&lt;&gt;""),('Project Plan'!$P$7:$P$206+('Project Plan'!$P$7:$P$206=""))),0))</x:f>
      </x:c>
      <x:c r="C347" s="162" t="str">
        <x:f>IF(A347="","",IF(A347&gt;$F$2,"",IF(A347=$F$2,$H$2,IFERROR(LOOKUP(2,1/(($G$7:$G$106&lt;&gt;"")*($G$7:$G$106&lt;=A347)),$H$7:$H$106),""))))</x:f>
      </x:c>
      <x:c r="D347" s="162" t="str">
        <x:f>IF(C347="","",C347-B347)</x:f>
      </x:c>
      <x:c r="E347" s="163" t="str">
        <x:f>IF(D347="","",IF(D347&gt;=0,"On / Ahead",IF(D347&gt;=-0.05,"Watch","Behind")))</x:f>
      </x:c>
      <x:c r="J347"/>
      <x:c r="K347"/>
      <x:c r="L347"/>
      <x:c r="M347" t="str">
        <x:f>IF(A347="","",TEXT(A347,"mmm d"))</x:f>
      </x:c>
      <x:c r="N347" s="14" t="e">
        <x:f>IF(B347="",NA(),B347)</x:f>
        <x:v>#N/A</x:v>
      </x:c>
      <x:c r="O347" s="14" t="e">
        <x:f>IF(OR(P347="",$B$2="",$F$2="",P347&lt;$B$2,P347&gt;$F$2),NA(),IF(Q347=0,IF($F$2=$B$2,$H$2,MAX(0,MIN(1,$H$2*(3*MAX(0,MIN(1,(P347-$B$2)/($F$2-$B$2)))^2-2*MAX(0,MIN(1,(P347-$B$2)/($F$2-$B$2)))^3)))),MAX(0,MIN(1,T347+(V347-T347)*(3*W347^2-2*W347^3)))))</x:f>
        <x:v>#N/A</x:v>
      </x:c>
      <x:c r="P347" s="189" t="str">
        <x:f>A347</x:f>
      </x:c>
      <x:c r="Q347" t="n">
        <x:f>COUNT($G$7:$G$106)</x:f>
        <x:v>0</x:v>
      </x:c>
      <x:c r="R347" t="str">
        <x:f>IF(OR(P347="",$B$2="",$F$2="",P347&lt;$B$2,P347&gt;$F$2),"",IF(Q347=0,0,IF(P347&lt;$G$7,0,IF(P347&gt;=INDEX($G$7:$G$106,Q347),Q347,MATCH(P347,$G$7:$G$106,1)))))</x:f>
      </x:c>
      <x:c r="S347" t="str">
        <x:f>IF(R347="","",IF(R347=0,$B$2,INDEX($G$7:$G$106,R347)))</x:f>
      </x:c>
      <x:c r="T347" s="14" t="str">
        <x:f>IF(R347="","",IF(R347=0,0,INDEX($H$7:$H$106,R347)))</x:f>
      </x:c>
      <x:c r="U347" t="str">
        <x:f>IF(R347="","",IF(Q347=0,$F$2,IF(R347=0,$G$7,IF(R347&lt;Q347,INDEX($G$7:$G$106,R347+1),$F$2))))</x:f>
      </x:c>
      <x:c r="V347" s="14" t="str">
        <x:f>IF(R347="","",IF(Q347=0,$H$2,IF(R347=0,$H$7,IF(R347&lt;Q347,INDEX($H$7:$H$106,R347+1),$H$2))))</x:f>
      </x:c>
      <x:c r="W347" s="188" t="str">
        <x:f>IF(R347="","",IF(U347=S347,1,MAX(0,MIN(1,(P347-S347)/(U347-S347)))))</x:f>
      </x:c>
    </x:row>
    <x:row r="348">
      <x:c r="A348" s="159" t="str">
        <x:f>IF(OR(A347="",A347&gt;=$D$2),"",A347+1)</x:f>
      </x:c>
      <x:c r="B348" s="162" t="str">
        <x:f>IF(A348="","",IFERROR(SUMPRODUCT(--('Project Plan'!$A$7:$A$206&lt;&gt;""),('Project Plan'!$P$7:$P$206+('Project Plan'!$P$7:$P$206="")),--('Project Plan'!$F$7:$F$206&lt;&gt;""),--('Project Plan'!$G$7:$G$206&lt;&gt;""),((A348&gt;='Project Plan'!$G$7:$G$206)+((A348&gt;='Project Plan'!$F$7:$F$206)*(A348&lt;'Project Plan'!$G$7:$G$206)*(A348-'Project Plan'!$F$7:$F$206+1)/('Project Plan'!$G$7:$G$206-'Project Plan'!$F$7:$F$206+1))))/SUMPRODUCT(--('Project Plan'!$A$7:$A$206&lt;&gt;""),('Project Plan'!$P$7:$P$206+('Project Plan'!$P$7:$P$206=""))),0))</x:f>
      </x:c>
      <x:c r="C348" s="162" t="str">
        <x:f>IF(A348="","",IF(A348&gt;$F$2,"",IF(A348=$F$2,$H$2,IFERROR(LOOKUP(2,1/(($G$7:$G$106&lt;&gt;"")*($G$7:$G$106&lt;=A348)),$H$7:$H$106),""))))</x:f>
      </x:c>
      <x:c r="D348" s="162" t="str">
        <x:f>IF(C348="","",C348-B348)</x:f>
      </x:c>
      <x:c r="E348" s="163" t="str">
        <x:f>IF(D348="","",IF(D348&gt;=0,"On / Ahead",IF(D348&gt;=-0.05,"Watch","Behind")))</x:f>
      </x:c>
      <x:c r="J348"/>
      <x:c r="K348"/>
      <x:c r="L348"/>
      <x:c r="M348" t="str">
        <x:f>IF(A348="","",TEXT(A348,"mmm d"))</x:f>
      </x:c>
      <x:c r="N348" s="14" t="e">
        <x:f>IF(B348="",NA(),B348)</x:f>
        <x:v>#N/A</x:v>
      </x:c>
      <x:c r="O348" s="14" t="e">
        <x:f>IF(OR(P348="",$B$2="",$F$2="",P348&lt;$B$2,P348&gt;$F$2),NA(),IF(Q348=0,IF($F$2=$B$2,$H$2,MAX(0,MIN(1,$H$2*(3*MAX(0,MIN(1,(P348-$B$2)/($F$2-$B$2)))^2-2*MAX(0,MIN(1,(P348-$B$2)/($F$2-$B$2)))^3)))),MAX(0,MIN(1,T348+(V348-T348)*(3*W348^2-2*W348^3)))))</x:f>
        <x:v>#N/A</x:v>
      </x:c>
      <x:c r="P348" s="189" t="str">
        <x:f>A348</x:f>
      </x:c>
      <x:c r="Q348" t="n">
        <x:f>COUNT($G$7:$G$106)</x:f>
        <x:v>0</x:v>
      </x:c>
      <x:c r="R348" t="str">
        <x:f>IF(OR(P348="",$B$2="",$F$2="",P348&lt;$B$2,P348&gt;$F$2),"",IF(Q348=0,0,IF(P348&lt;$G$7,0,IF(P348&gt;=INDEX($G$7:$G$106,Q348),Q348,MATCH(P348,$G$7:$G$106,1)))))</x:f>
      </x:c>
      <x:c r="S348" t="str">
        <x:f>IF(R348="","",IF(R348=0,$B$2,INDEX($G$7:$G$106,R348)))</x:f>
      </x:c>
      <x:c r="T348" s="14" t="str">
        <x:f>IF(R348="","",IF(R348=0,0,INDEX($H$7:$H$106,R348)))</x:f>
      </x:c>
      <x:c r="U348" t="str">
        <x:f>IF(R348="","",IF(Q348=0,$F$2,IF(R348=0,$G$7,IF(R348&lt;Q348,INDEX($G$7:$G$106,R348+1),$F$2))))</x:f>
      </x:c>
      <x:c r="V348" s="14" t="str">
        <x:f>IF(R348="","",IF(Q348=0,$H$2,IF(R348=0,$H$7,IF(R348&lt;Q348,INDEX($H$7:$H$106,R348+1),$H$2))))</x:f>
      </x:c>
      <x:c r="W348" s="188" t="str">
        <x:f>IF(R348="","",IF(U348=S348,1,MAX(0,MIN(1,(P348-S348)/(U348-S348)))))</x:f>
      </x:c>
    </x:row>
    <x:row r="349">
      <x:c r="A349" s="159" t="str">
        <x:f>IF(OR(A348="",A348&gt;=$D$2),"",A348+1)</x:f>
      </x:c>
      <x:c r="B349" s="162" t="str">
        <x:f>IF(A349="","",IFERROR(SUMPRODUCT(--('Project Plan'!$A$7:$A$206&lt;&gt;""),('Project Plan'!$P$7:$P$206+('Project Plan'!$P$7:$P$206="")),--('Project Plan'!$F$7:$F$206&lt;&gt;""),--('Project Plan'!$G$7:$G$206&lt;&gt;""),((A349&gt;='Project Plan'!$G$7:$G$206)+((A349&gt;='Project Plan'!$F$7:$F$206)*(A349&lt;'Project Plan'!$G$7:$G$206)*(A349-'Project Plan'!$F$7:$F$206+1)/('Project Plan'!$G$7:$G$206-'Project Plan'!$F$7:$F$206+1))))/SUMPRODUCT(--('Project Plan'!$A$7:$A$206&lt;&gt;""),('Project Plan'!$P$7:$P$206+('Project Plan'!$P$7:$P$206=""))),0))</x:f>
      </x:c>
      <x:c r="C349" s="162" t="str">
        <x:f>IF(A349="","",IF(A349&gt;$F$2,"",IF(A349=$F$2,$H$2,IFERROR(LOOKUP(2,1/(($G$7:$G$106&lt;&gt;"")*($G$7:$G$106&lt;=A349)),$H$7:$H$106),""))))</x:f>
      </x:c>
      <x:c r="D349" s="162" t="str">
        <x:f>IF(C349="","",C349-B349)</x:f>
      </x:c>
      <x:c r="E349" s="163" t="str">
        <x:f>IF(D349="","",IF(D349&gt;=0,"On / Ahead",IF(D349&gt;=-0.05,"Watch","Behind")))</x:f>
      </x:c>
      <x:c r="J349"/>
      <x:c r="K349"/>
      <x:c r="L349"/>
      <x:c r="M349" t="str">
        <x:f>IF(A349="","",TEXT(A349,"mmm d"))</x:f>
      </x:c>
      <x:c r="N349" s="14" t="e">
        <x:f>IF(B349="",NA(),B349)</x:f>
        <x:v>#N/A</x:v>
      </x:c>
      <x:c r="O349" s="14" t="e">
        <x:f>IF(OR(P349="",$B$2="",$F$2="",P349&lt;$B$2,P349&gt;$F$2),NA(),IF(Q349=0,IF($F$2=$B$2,$H$2,MAX(0,MIN(1,$H$2*(3*MAX(0,MIN(1,(P349-$B$2)/($F$2-$B$2)))^2-2*MAX(0,MIN(1,(P349-$B$2)/($F$2-$B$2)))^3)))),MAX(0,MIN(1,T349+(V349-T349)*(3*W349^2-2*W349^3)))))</x:f>
        <x:v>#N/A</x:v>
      </x:c>
      <x:c r="P349" s="189" t="str">
        <x:f>A349</x:f>
      </x:c>
      <x:c r="Q349" t="n">
        <x:f>COUNT($G$7:$G$106)</x:f>
        <x:v>0</x:v>
      </x:c>
      <x:c r="R349" t="str">
        <x:f>IF(OR(P349="",$B$2="",$F$2="",P349&lt;$B$2,P349&gt;$F$2),"",IF(Q349=0,0,IF(P349&lt;$G$7,0,IF(P349&gt;=INDEX($G$7:$G$106,Q349),Q349,MATCH(P349,$G$7:$G$106,1)))))</x:f>
      </x:c>
      <x:c r="S349" t="str">
        <x:f>IF(R349="","",IF(R349=0,$B$2,INDEX($G$7:$G$106,R349)))</x:f>
      </x:c>
      <x:c r="T349" s="14" t="str">
        <x:f>IF(R349="","",IF(R349=0,0,INDEX($H$7:$H$106,R349)))</x:f>
      </x:c>
      <x:c r="U349" t="str">
        <x:f>IF(R349="","",IF(Q349=0,$F$2,IF(R349=0,$G$7,IF(R349&lt;Q349,INDEX($G$7:$G$106,R349+1),$F$2))))</x:f>
      </x:c>
      <x:c r="V349" s="14" t="str">
        <x:f>IF(R349="","",IF(Q349=0,$H$2,IF(R349=0,$H$7,IF(R349&lt;Q349,INDEX($H$7:$H$106,R349+1),$H$2))))</x:f>
      </x:c>
      <x:c r="W349" s="188" t="str">
        <x:f>IF(R349="","",IF(U349=S349,1,MAX(0,MIN(1,(P349-S349)/(U349-S349)))))</x:f>
      </x:c>
    </x:row>
    <x:row r="350">
      <x:c r="A350" s="159" t="str">
        <x:f>IF(OR(A349="",A349&gt;=$D$2),"",A349+1)</x:f>
      </x:c>
      <x:c r="B350" s="162" t="str">
        <x:f>IF(A350="","",IFERROR(SUMPRODUCT(--('Project Plan'!$A$7:$A$206&lt;&gt;""),('Project Plan'!$P$7:$P$206+('Project Plan'!$P$7:$P$206="")),--('Project Plan'!$F$7:$F$206&lt;&gt;""),--('Project Plan'!$G$7:$G$206&lt;&gt;""),((A350&gt;='Project Plan'!$G$7:$G$206)+((A350&gt;='Project Plan'!$F$7:$F$206)*(A350&lt;'Project Plan'!$G$7:$G$206)*(A350-'Project Plan'!$F$7:$F$206+1)/('Project Plan'!$G$7:$G$206-'Project Plan'!$F$7:$F$206+1))))/SUMPRODUCT(--('Project Plan'!$A$7:$A$206&lt;&gt;""),('Project Plan'!$P$7:$P$206+('Project Plan'!$P$7:$P$206=""))),0))</x:f>
      </x:c>
      <x:c r="C350" s="162" t="str">
        <x:f>IF(A350="","",IF(A350&gt;$F$2,"",IF(A350=$F$2,$H$2,IFERROR(LOOKUP(2,1/(($G$7:$G$106&lt;&gt;"")*($G$7:$G$106&lt;=A350)),$H$7:$H$106),""))))</x:f>
      </x:c>
      <x:c r="D350" s="162" t="str">
        <x:f>IF(C350="","",C350-B350)</x:f>
      </x:c>
      <x:c r="E350" s="163" t="str">
        <x:f>IF(D350="","",IF(D350&gt;=0,"On / Ahead",IF(D350&gt;=-0.05,"Watch","Behind")))</x:f>
      </x:c>
      <x:c r="J350"/>
      <x:c r="K350"/>
      <x:c r="L350"/>
      <x:c r="M350" t="str">
        <x:f>IF(A350="","",TEXT(A350,"mmm d"))</x:f>
      </x:c>
      <x:c r="N350" s="14" t="e">
        <x:f>IF(B350="",NA(),B350)</x:f>
        <x:v>#N/A</x:v>
      </x:c>
      <x:c r="O350" s="14" t="e">
        <x:f>IF(OR(P350="",$B$2="",$F$2="",P350&lt;$B$2,P350&gt;$F$2),NA(),IF(Q350=0,IF($F$2=$B$2,$H$2,MAX(0,MIN(1,$H$2*(3*MAX(0,MIN(1,(P350-$B$2)/($F$2-$B$2)))^2-2*MAX(0,MIN(1,(P350-$B$2)/($F$2-$B$2)))^3)))),MAX(0,MIN(1,T350+(V350-T350)*(3*W350^2-2*W350^3)))))</x:f>
        <x:v>#N/A</x:v>
      </x:c>
      <x:c r="P350" s="189" t="str">
        <x:f>A350</x:f>
      </x:c>
      <x:c r="Q350" t="n">
        <x:f>COUNT($G$7:$G$106)</x:f>
        <x:v>0</x:v>
      </x:c>
      <x:c r="R350" t="str">
        <x:f>IF(OR(P350="",$B$2="",$F$2="",P350&lt;$B$2,P350&gt;$F$2),"",IF(Q350=0,0,IF(P350&lt;$G$7,0,IF(P350&gt;=INDEX($G$7:$G$106,Q350),Q350,MATCH(P350,$G$7:$G$106,1)))))</x:f>
      </x:c>
      <x:c r="S350" t="str">
        <x:f>IF(R350="","",IF(R350=0,$B$2,INDEX($G$7:$G$106,R350)))</x:f>
      </x:c>
      <x:c r="T350" s="14" t="str">
        <x:f>IF(R350="","",IF(R350=0,0,INDEX($H$7:$H$106,R350)))</x:f>
      </x:c>
      <x:c r="U350" t="str">
        <x:f>IF(R350="","",IF(Q350=0,$F$2,IF(R350=0,$G$7,IF(R350&lt;Q350,INDEX($G$7:$G$106,R350+1),$F$2))))</x:f>
      </x:c>
      <x:c r="V350" s="14" t="str">
        <x:f>IF(R350="","",IF(Q350=0,$H$2,IF(R350=0,$H$7,IF(R350&lt;Q350,INDEX($H$7:$H$106,R350+1),$H$2))))</x:f>
      </x:c>
      <x:c r="W350" s="188" t="str">
        <x:f>IF(R350="","",IF(U350=S350,1,MAX(0,MIN(1,(P350-S350)/(U350-S350)))))</x:f>
      </x:c>
    </x:row>
    <x:row r="351">
      <x:c r="A351" s="159" t="str">
        <x:f>IF(OR(A350="",A350&gt;=$D$2),"",A350+1)</x:f>
      </x:c>
      <x:c r="B351" s="162" t="str">
        <x:f>IF(A351="","",IFERROR(SUMPRODUCT(--('Project Plan'!$A$7:$A$206&lt;&gt;""),('Project Plan'!$P$7:$P$206+('Project Plan'!$P$7:$P$206="")),--('Project Plan'!$F$7:$F$206&lt;&gt;""),--('Project Plan'!$G$7:$G$206&lt;&gt;""),((A351&gt;='Project Plan'!$G$7:$G$206)+((A351&gt;='Project Plan'!$F$7:$F$206)*(A351&lt;'Project Plan'!$G$7:$G$206)*(A351-'Project Plan'!$F$7:$F$206+1)/('Project Plan'!$G$7:$G$206-'Project Plan'!$F$7:$F$206+1))))/SUMPRODUCT(--('Project Plan'!$A$7:$A$206&lt;&gt;""),('Project Plan'!$P$7:$P$206+('Project Plan'!$P$7:$P$206=""))),0))</x:f>
      </x:c>
      <x:c r="C351" s="162" t="str">
        <x:f>IF(A351="","",IF(A351&gt;$F$2,"",IF(A351=$F$2,$H$2,IFERROR(LOOKUP(2,1/(($G$7:$G$106&lt;&gt;"")*($G$7:$G$106&lt;=A351)),$H$7:$H$106),""))))</x:f>
      </x:c>
      <x:c r="D351" s="162" t="str">
        <x:f>IF(C351="","",C351-B351)</x:f>
      </x:c>
      <x:c r="E351" s="163" t="str">
        <x:f>IF(D351="","",IF(D351&gt;=0,"On / Ahead",IF(D351&gt;=-0.05,"Watch","Behind")))</x:f>
      </x:c>
      <x:c r="J351"/>
      <x:c r="K351"/>
      <x:c r="L351"/>
      <x:c r="M351" t="str">
        <x:f>IF(A351="","",TEXT(A351,"mmm d"))</x:f>
      </x:c>
      <x:c r="N351" s="14" t="e">
        <x:f>IF(B351="",NA(),B351)</x:f>
        <x:v>#N/A</x:v>
      </x:c>
      <x:c r="O351" s="14" t="e">
        <x:f>IF(OR(P351="",$B$2="",$F$2="",P351&lt;$B$2,P351&gt;$F$2),NA(),IF(Q351=0,IF($F$2=$B$2,$H$2,MAX(0,MIN(1,$H$2*(3*MAX(0,MIN(1,(P351-$B$2)/($F$2-$B$2)))^2-2*MAX(0,MIN(1,(P351-$B$2)/($F$2-$B$2)))^3)))),MAX(0,MIN(1,T351+(V351-T351)*(3*W351^2-2*W351^3)))))</x:f>
        <x:v>#N/A</x:v>
      </x:c>
      <x:c r="P351" s="189" t="str">
        <x:f>A351</x:f>
      </x:c>
      <x:c r="Q351" t="n">
        <x:f>COUNT($G$7:$G$106)</x:f>
        <x:v>0</x:v>
      </x:c>
      <x:c r="R351" t="str">
        <x:f>IF(OR(P351="",$B$2="",$F$2="",P351&lt;$B$2,P351&gt;$F$2),"",IF(Q351=0,0,IF(P351&lt;$G$7,0,IF(P351&gt;=INDEX($G$7:$G$106,Q351),Q351,MATCH(P351,$G$7:$G$106,1)))))</x:f>
      </x:c>
      <x:c r="S351" t="str">
        <x:f>IF(R351="","",IF(R351=0,$B$2,INDEX($G$7:$G$106,R351)))</x:f>
      </x:c>
      <x:c r="T351" s="14" t="str">
        <x:f>IF(R351="","",IF(R351=0,0,INDEX($H$7:$H$106,R351)))</x:f>
      </x:c>
      <x:c r="U351" t="str">
        <x:f>IF(R351="","",IF(Q351=0,$F$2,IF(R351=0,$G$7,IF(R351&lt;Q351,INDEX($G$7:$G$106,R351+1),$F$2))))</x:f>
      </x:c>
      <x:c r="V351" s="14" t="str">
        <x:f>IF(R351="","",IF(Q351=0,$H$2,IF(R351=0,$H$7,IF(R351&lt;Q351,INDEX($H$7:$H$106,R351+1),$H$2))))</x:f>
      </x:c>
      <x:c r="W351" s="188" t="str">
        <x:f>IF(R351="","",IF(U351=S351,1,MAX(0,MIN(1,(P351-S351)/(U351-S351)))))</x:f>
      </x:c>
    </x:row>
    <x:row r="352">
      <x:c r="A352" s="159" t="str">
        <x:f>IF(OR(A351="",A351&gt;=$D$2),"",A351+1)</x:f>
      </x:c>
      <x:c r="B352" s="162" t="str">
        <x:f>IF(A352="","",IFERROR(SUMPRODUCT(--('Project Plan'!$A$7:$A$206&lt;&gt;""),('Project Plan'!$P$7:$P$206+('Project Plan'!$P$7:$P$206="")),--('Project Plan'!$F$7:$F$206&lt;&gt;""),--('Project Plan'!$G$7:$G$206&lt;&gt;""),((A352&gt;='Project Plan'!$G$7:$G$206)+((A352&gt;='Project Plan'!$F$7:$F$206)*(A352&lt;'Project Plan'!$G$7:$G$206)*(A352-'Project Plan'!$F$7:$F$206+1)/('Project Plan'!$G$7:$G$206-'Project Plan'!$F$7:$F$206+1))))/SUMPRODUCT(--('Project Plan'!$A$7:$A$206&lt;&gt;""),('Project Plan'!$P$7:$P$206+('Project Plan'!$P$7:$P$206=""))),0))</x:f>
      </x:c>
      <x:c r="C352" s="162" t="str">
        <x:f>IF(A352="","",IF(A352&gt;$F$2,"",IF(A352=$F$2,$H$2,IFERROR(LOOKUP(2,1/(($G$7:$G$106&lt;&gt;"")*($G$7:$G$106&lt;=A352)),$H$7:$H$106),""))))</x:f>
      </x:c>
      <x:c r="D352" s="162" t="str">
        <x:f>IF(C352="","",C352-B352)</x:f>
      </x:c>
      <x:c r="E352" s="163" t="str">
        <x:f>IF(D352="","",IF(D352&gt;=0,"On / Ahead",IF(D352&gt;=-0.05,"Watch","Behind")))</x:f>
      </x:c>
      <x:c r="J352"/>
      <x:c r="K352"/>
      <x:c r="L352"/>
      <x:c r="M352" t="str">
        <x:f>IF(A352="","",TEXT(A352,"mmm d"))</x:f>
      </x:c>
      <x:c r="N352" s="14" t="e">
        <x:f>IF(B352="",NA(),B352)</x:f>
        <x:v>#N/A</x:v>
      </x:c>
      <x:c r="O352" s="14" t="e">
        <x:f>IF(OR(P352="",$B$2="",$F$2="",P352&lt;$B$2,P352&gt;$F$2),NA(),IF(Q352=0,IF($F$2=$B$2,$H$2,MAX(0,MIN(1,$H$2*(3*MAX(0,MIN(1,(P352-$B$2)/($F$2-$B$2)))^2-2*MAX(0,MIN(1,(P352-$B$2)/($F$2-$B$2)))^3)))),MAX(0,MIN(1,T352+(V352-T352)*(3*W352^2-2*W352^3)))))</x:f>
        <x:v>#N/A</x:v>
      </x:c>
      <x:c r="P352" s="189" t="str">
        <x:f>A352</x:f>
      </x:c>
      <x:c r="Q352" t="n">
        <x:f>COUNT($G$7:$G$106)</x:f>
        <x:v>0</x:v>
      </x:c>
      <x:c r="R352" t="str">
        <x:f>IF(OR(P352="",$B$2="",$F$2="",P352&lt;$B$2,P352&gt;$F$2),"",IF(Q352=0,0,IF(P352&lt;$G$7,0,IF(P352&gt;=INDEX($G$7:$G$106,Q352),Q352,MATCH(P352,$G$7:$G$106,1)))))</x:f>
      </x:c>
      <x:c r="S352" t="str">
        <x:f>IF(R352="","",IF(R352=0,$B$2,INDEX($G$7:$G$106,R352)))</x:f>
      </x:c>
      <x:c r="T352" s="14" t="str">
        <x:f>IF(R352="","",IF(R352=0,0,INDEX($H$7:$H$106,R352)))</x:f>
      </x:c>
      <x:c r="U352" t="str">
        <x:f>IF(R352="","",IF(Q352=0,$F$2,IF(R352=0,$G$7,IF(R352&lt;Q352,INDEX($G$7:$G$106,R352+1),$F$2))))</x:f>
      </x:c>
      <x:c r="V352" s="14" t="str">
        <x:f>IF(R352="","",IF(Q352=0,$H$2,IF(R352=0,$H$7,IF(R352&lt;Q352,INDEX($H$7:$H$106,R352+1),$H$2))))</x:f>
      </x:c>
      <x:c r="W352" s="188" t="str">
        <x:f>IF(R352="","",IF(U352=S352,1,MAX(0,MIN(1,(P352-S352)/(U352-S352)))))</x:f>
      </x:c>
    </x:row>
    <x:row r="353">
      <x:c r="A353" s="159" t="str">
        <x:f>IF(OR(A352="",A352&gt;=$D$2),"",A352+1)</x:f>
      </x:c>
      <x:c r="B353" s="162" t="str">
        <x:f>IF(A353="","",IFERROR(SUMPRODUCT(--('Project Plan'!$A$7:$A$206&lt;&gt;""),('Project Plan'!$P$7:$P$206+('Project Plan'!$P$7:$P$206="")),--('Project Plan'!$F$7:$F$206&lt;&gt;""),--('Project Plan'!$G$7:$G$206&lt;&gt;""),((A353&gt;='Project Plan'!$G$7:$G$206)+((A353&gt;='Project Plan'!$F$7:$F$206)*(A353&lt;'Project Plan'!$G$7:$G$206)*(A353-'Project Plan'!$F$7:$F$206+1)/('Project Plan'!$G$7:$G$206-'Project Plan'!$F$7:$F$206+1))))/SUMPRODUCT(--('Project Plan'!$A$7:$A$206&lt;&gt;""),('Project Plan'!$P$7:$P$206+('Project Plan'!$P$7:$P$206=""))),0))</x:f>
      </x:c>
      <x:c r="C353" s="162" t="str">
        <x:f>IF(A353="","",IF(A353&gt;$F$2,"",IF(A353=$F$2,$H$2,IFERROR(LOOKUP(2,1/(($G$7:$G$106&lt;&gt;"")*($G$7:$G$106&lt;=A353)),$H$7:$H$106),""))))</x:f>
      </x:c>
      <x:c r="D353" s="162" t="str">
        <x:f>IF(C353="","",C353-B353)</x:f>
      </x:c>
      <x:c r="E353" s="163" t="str">
        <x:f>IF(D353="","",IF(D353&gt;=0,"On / Ahead",IF(D353&gt;=-0.05,"Watch","Behind")))</x:f>
      </x:c>
      <x:c r="J353"/>
      <x:c r="K353"/>
      <x:c r="L353"/>
      <x:c r="M353" t="str">
        <x:f>IF(A353="","",TEXT(A353,"mmm d"))</x:f>
      </x:c>
      <x:c r="N353" s="14" t="e">
        <x:f>IF(B353="",NA(),B353)</x:f>
        <x:v>#N/A</x:v>
      </x:c>
      <x:c r="O353" s="14" t="e">
        <x:f>IF(OR(P353="",$B$2="",$F$2="",P353&lt;$B$2,P353&gt;$F$2),NA(),IF(Q353=0,IF($F$2=$B$2,$H$2,MAX(0,MIN(1,$H$2*(3*MAX(0,MIN(1,(P353-$B$2)/($F$2-$B$2)))^2-2*MAX(0,MIN(1,(P353-$B$2)/($F$2-$B$2)))^3)))),MAX(0,MIN(1,T353+(V353-T353)*(3*W353^2-2*W353^3)))))</x:f>
        <x:v>#N/A</x:v>
      </x:c>
      <x:c r="P353" s="189" t="str">
        <x:f>A353</x:f>
      </x:c>
      <x:c r="Q353" t="n">
        <x:f>COUNT($G$7:$G$106)</x:f>
        <x:v>0</x:v>
      </x:c>
      <x:c r="R353" t="str">
        <x:f>IF(OR(P353="",$B$2="",$F$2="",P353&lt;$B$2,P353&gt;$F$2),"",IF(Q353=0,0,IF(P353&lt;$G$7,0,IF(P353&gt;=INDEX($G$7:$G$106,Q353),Q353,MATCH(P353,$G$7:$G$106,1)))))</x:f>
      </x:c>
      <x:c r="S353" t="str">
        <x:f>IF(R353="","",IF(R353=0,$B$2,INDEX($G$7:$G$106,R353)))</x:f>
      </x:c>
      <x:c r="T353" s="14" t="str">
        <x:f>IF(R353="","",IF(R353=0,0,INDEX($H$7:$H$106,R353)))</x:f>
      </x:c>
      <x:c r="U353" t="str">
        <x:f>IF(R353="","",IF(Q353=0,$F$2,IF(R353=0,$G$7,IF(R353&lt;Q353,INDEX($G$7:$G$106,R353+1),$F$2))))</x:f>
      </x:c>
      <x:c r="V353" s="14" t="str">
        <x:f>IF(R353="","",IF(Q353=0,$H$2,IF(R353=0,$H$7,IF(R353&lt;Q353,INDEX($H$7:$H$106,R353+1),$H$2))))</x:f>
      </x:c>
      <x:c r="W353" s="188" t="str">
        <x:f>IF(R353="","",IF(U353=S353,1,MAX(0,MIN(1,(P353-S353)/(U353-S353)))))</x:f>
      </x:c>
    </x:row>
    <x:row r="354">
      <x:c r="A354" s="159" t="str">
        <x:f>IF(OR(A353="",A353&gt;=$D$2),"",A353+1)</x:f>
      </x:c>
      <x:c r="B354" s="162" t="str">
        <x:f>IF(A354="","",IFERROR(SUMPRODUCT(--('Project Plan'!$A$7:$A$206&lt;&gt;""),('Project Plan'!$P$7:$P$206+('Project Plan'!$P$7:$P$206="")),--('Project Plan'!$F$7:$F$206&lt;&gt;""),--('Project Plan'!$G$7:$G$206&lt;&gt;""),((A354&gt;='Project Plan'!$G$7:$G$206)+((A354&gt;='Project Plan'!$F$7:$F$206)*(A354&lt;'Project Plan'!$G$7:$G$206)*(A354-'Project Plan'!$F$7:$F$206+1)/('Project Plan'!$G$7:$G$206-'Project Plan'!$F$7:$F$206+1))))/SUMPRODUCT(--('Project Plan'!$A$7:$A$206&lt;&gt;""),('Project Plan'!$P$7:$P$206+('Project Plan'!$P$7:$P$206=""))),0))</x:f>
      </x:c>
      <x:c r="C354" s="162" t="str">
        <x:f>IF(A354="","",IF(A354&gt;$F$2,"",IF(A354=$F$2,$H$2,IFERROR(LOOKUP(2,1/(($G$7:$G$106&lt;&gt;"")*($G$7:$G$106&lt;=A354)),$H$7:$H$106),""))))</x:f>
      </x:c>
      <x:c r="D354" s="162" t="str">
        <x:f>IF(C354="","",C354-B354)</x:f>
      </x:c>
      <x:c r="E354" s="163" t="str">
        <x:f>IF(D354="","",IF(D354&gt;=0,"On / Ahead",IF(D354&gt;=-0.05,"Watch","Behind")))</x:f>
      </x:c>
      <x:c r="J354"/>
      <x:c r="K354"/>
      <x:c r="L354"/>
      <x:c r="M354" t="str">
        <x:f>IF(A354="","",TEXT(A354,"mmm d"))</x:f>
      </x:c>
      <x:c r="N354" s="14" t="e">
        <x:f>IF(B354="",NA(),B354)</x:f>
        <x:v>#N/A</x:v>
      </x:c>
      <x:c r="O354" s="14" t="e">
        <x:f>IF(OR(P354="",$B$2="",$F$2="",P354&lt;$B$2,P354&gt;$F$2),NA(),IF(Q354=0,IF($F$2=$B$2,$H$2,MAX(0,MIN(1,$H$2*(3*MAX(0,MIN(1,(P354-$B$2)/($F$2-$B$2)))^2-2*MAX(0,MIN(1,(P354-$B$2)/($F$2-$B$2)))^3)))),MAX(0,MIN(1,T354+(V354-T354)*(3*W354^2-2*W354^3)))))</x:f>
        <x:v>#N/A</x:v>
      </x:c>
      <x:c r="P354" s="189" t="str">
        <x:f>A354</x:f>
      </x:c>
      <x:c r="Q354" t="n">
        <x:f>COUNT($G$7:$G$106)</x:f>
        <x:v>0</x:v>
      </x:c>
      <x:c r="R354" t="str">
        <x:f>IF(OR(P354="",$B$2="",$F$2="",P354&lt;$B$2,P354&gt;$F$2),"",IF(Q354=0,0,IF(P354&lt;$G$7,0,IF(P354&gt;=INDEX($G$7:$G$106,Q354),Q354,MATCH(P354,$G$7:$G$106,1)))))</x:f>
      </x:c>
      <x:c r="S354" t="str">
        <x:f>IF(R354="","",IF(R354=0,$B$2,INDEX($G$7:$G$106,R354)))</x:f>
      </x:c>
      <x:c r="T354" s="14" t="str">
        <x:f>IF(R354="","",IF(R354=0,0,INDEX($H$7:$H$106,R354)))</x:f>
      </x:c>
      <x:c r="U354" t="str">
        <x:f>IF(R354="","",IF(Q354=0,$F$2,IF(R354=0,$G$7,IF(R354&lt;Q354,INDEX($G$7:$G$106,R354+1),$F$2))))</x:f>
      </x:c>
      <x:c r="V354" s="14" t="str">
        <x:f>IF(R354="","",IF(Q354=0,$H$2,IF(R354=0,$H$7,IF(R354&lt;Q354,INDEX($H$7:$H$106,R354+1),$H$2))))</x:f>
      </x:c>
      <x:c r="W354" s="188" t="str">
        <x:f>IF(R354="","",IF(U354=S354,1,MAX(0,MIN(1,(P354-S354)/(U354-S354)))))</x:f>
      </x:c>
    </x:row>
    <x:row r="355">
      <x:c r="A355" s="159" t="str">
        <x:f>IF(OR(A354="",A354&gt;=$D$2),"",A354+1)</x:f>
      </x:c>
      <x:c r="B355" s="162" t="str">
        <x:f>IF(A355="","",IFERROR(SUMPRODUCT(--('Project Plan'!$A$7:$A$206&lt;&gt;""),('Project Plan'!$P$7:$P$206+('Project Plan'!$P$7:$P$206="")),--('Project Plan'!$F$7:$F$206&lt;&gt;""),--('Project Plan'!$G$7:$G$206&lt;&gt;""),((A355&gt;='Project Plan'!$G$7:$G$206)+((A355&gt;='Project Plan'!$F$7:$F$206)*(A355&lt;'Project Plan'!$G$7:$G$206)*(A355-'Project Plan'!$F$7:$F$206+1)/('Project Plan'!$G$7:$G$206-'Project Plan'!$F$7:$F$206+1))))/SUMPRODUCT(--('Project Plan'!$A$7:$A$206&lt;&gt;""),('Project Plan'!$P$7:$P$206+('Project Plan'!$P$7:$P$206=""))),0))</x:f>
      </x:c>
      <x:c r="C355" s="162" t="str">
        <x:f>IF(A355="","",IF(A355&gt;$F$2,"",IF(A355=$F$2,$H$2,IFERROR(LOOKUP(2,1/(($G$7:$G$106&lt;&gt;"")*($G$7:$G$106&lt;=A355)),$H$7:$H$106),""))))</x:f>
      </x:c>
      <x:c r="D355" s="162" t="str">
        <x:f>IF(C355="","",C355-B355)</x:f>
      </x:c>
      <x:c r="E355" s="163" t="str">
        <x:f>IF(D355="","",IF(D355&gt;=0,"On / Ahead",IF(D355&gt;=-0.05,"Watch","Behind")))</x:f>
      </x:c>
      <x:c r="J355"/>
      <x:c r="K355"/>
      <x:c r="L355"/>
      <x:c r="M355" t="str">
        <x:f>IF(A355="","",TEXT(A355,"mmm d"))</x:f>
      </x:c>
      <x:c r="N355" s="14" t="e">
        <x:f>IF(B355="",NA(),B355)</x:f>
        <x:v>#N/A</x:v>
      </x:c>
      <x:c r="O355" s="14" t="e">
        <x:f>IF(OR(P355="",$B$2="",$F$2="",P355&lt;$B$2,P355&gt;$F$2),NA(),IF(Q355=0,IF($F$2=$B$2,$H$2,MAX(0,MIN(1,$H$2*(3*MAX(0,MIN(1,(P355-$B$2)/($F$2-$B$2)))^2-2*MAX(0,MIN(1,(P355-$B$2)/($F$2-$B$2)))^3)))),MAX(0,MIN(1,T355+(V355-T355)*(3*W355^2-2*W355^3)))))</x:f>
        <x:v>#N/A</x:v>
      </x:c>
      <x:c r="P355" s="189" t="str">
        <x:f>A355</x:f>
      </x:c>
      <x:c r="Q355" t="n">
        <x:f>COUNT($G$7:$G$106)</x:f>
        <x:v>0</x:v>
      </x:c>
      <x:c r="R355" t="str">
        <x:f>IF(OR(P355="",$B$2="",$F$2="",P355&lt;$B$2,P355&gt;$F$2),"",IF(Q355=0,0,IF(P355&lt;$G$7,0,IF(P355&gt;=INDEX($G$7:$G$106,Q355),Q355,MATCH(P355,$G$7:$G$106,1)))))</x:f>
      </x:c>
      <x:c r="S355" t="str">
        <x:f>IF(R355="","",IF(R355=0,$B$2,INDEX($G$7:$G$106,R355)))</x:f>
      </x:c>
      <x:c r="T355" s="14" t="str">
        <x:f>IF(R355="","",IF(R355=0,0,INDEX($H$7:$H$106,R355)))</x:f>
      </x:c>
      <x:c r="U355" t="str">
        <x:f>IF(R355="","",IF(Q355=0,$F$2,IF(R355=0,$G$7,IF(R355&lt;Q355,INDEX($G$7:$G$106,R355+1),$F$2))))</x:f>
      </x:c>
      <x:c r="V355" s="14" t="str">
        <x:f>IF(R355="","",IF(Q355=0,$H$2,IF(R355=0,$H$7,IF(R355&lt;Q355,INDEX($H$7:$H$106,R355+1),$H$2))))</x:f>
      </x:c>
      <x:c r="W355" s="188" t="str">
        <x:f>IF(R355="","",IF(U355=S355,1,MAX(0,MIN(1,(P355-S355)/(U355-S355)))))</x:f>
      </x:c>
    </x:row>
    <x:row r="356">
      <x:c r="A356" s="159" t="str">
        <x:f>IF(OR(A355="",A355&gt;=$D$2),"",A355+1)</x:f>
      </x:c>
      <x:c r="B356" s="162" t="str">
        <x:f>IF(A356="","",IFERROR(SUMPRODUCT(--('Project Plan'!$A$7:$A$206&lt;&gt;""),('Project Plan'!$P$7:$P$206+('Project Plan'!$P$7:$P$206="")),--('Project Plan'!$F$7:$F$206&lt;&gt;""),--('Project Plan'!$G$7:$G$206&lt;&gt;""),((A356&gt;='Project Plan'!$G$7:$G$206)+((A356&gt;='Project Plan'!$F$7:$F$206)*(A356&lt;'Project Plan'!$G$7:$G$206)*(A356-'Project Plan'!$F$7:$F$206+1)/('Project Plan'!$G$7:$G$206-'Project Plan'!$F$7:$F$206+1))))/SUMPRODUCT(--('Project Plan'!$A$7:$A$206&lt;&gt;""),('Project Plan'!$P$7:$P$206+('Project Plan'!$P$7:$P$206=""))),0))</x:f>
      </x:c>
      <x:c r="C356" s="162" t="str">
        <x:f>IF(A356="","",IF(A356&gt;$F$2,"",IF(A356=$F$2,$H$2,IFERROR(LOOKUP(2,1/(($G$7:$G$106&lt;&gt;"")*($G$7:$G$106&lt;=A356)),$H$7:$H$106),""))))</x:f>
      </x:c>
      <x:c r="D356" s="162" t="str">
        <x:f>IF(C356="","",C356-B356)</x:f>
      </x:c>
      <x:c r="E356" s="163" t="str">
        <x:f>IF(D356="","",IF(D356&gt;=0,"On / Ahead",IF(D356&gt;=-0.05,"Watch","Behind")))</x:f>
      </x:c>
      <x:c r="J356"/>
      <x:c r="K356"/>
      <x:c r="L356"/>
      <x:c r="M356" t="str">
        <x:f>IF(A356="","",TEXT(A356,"mmm d"))</x:f>
      </x:c>
      <x:c r="N356" s="14" t="e">
        <x:f>IF(B356="",NA(),B356)</x:f>
        <x:v>#N/A</x:v>
      </x:c>
      <x:c r="O356" s="14" t="e">
        <x:f>IF(OR(P356="",$B$2="",$F$2="",P356&lt;$B$2,P356&gt;$F$2),NA(),IF(Q356=0,IF($F$2=$B$2,$H$2,MAX(0,MIN(1,$H$2*(3*MAX(0,MIN(1,(P356-$B$2)/($F$2-$B$2)))^2-2*MAX(0,MIN(1,(P356-$B$2)/($F$2-$B$2)))^3)))),MAX(0,MIN(1,T356+(V356-T356)*(3*W356^2-2*W356^3)))))</x:f>
        <x:v>#N/A</x:v>
      </x:c>
      <x:c r="P356" s="189" t="str">
        <x:f>A356</x:f>
      </x:c>
      <x:c r="Q356" t="n">
        <x:f>COUNT($G$7:$G$106)</x:f>
        <x:v>0</x:v>
      </x:c>
      <x:c r="R356" t="str">
        <x:f>IF(OR(P356="",$B$2="",$F$2="",P356&lt;$B$2,P356&gt;$F$2),"",IF(Q356=0,0,IF(P356&lt;$G$7,0,IF(P356&gt;=INDEX($G$7:$G$106,Q356),Q356,MATCH(P356,$G$7:$G$106,1)))))</x:f>
      </x:c>
      <x:c r="S356" t="str">
        <x:f>IF(R356="","",IF(R356=0,$B$2,INDEX($G$7:$G$106,R356)))</x:f>
      </x:c>
      <x:c r="T356" s="14" t="str">
        <x:f>IF(R356="","",IF(R356=0,0,INDEX($H$7:$H$106,R356)))</x:f>
      </x:c>
      <x:c r="U356" t="str">
        <x:f>IF(R356="","",IF(Q356=0,$F$2,IF(R356=0,$G$7,IF(R356&lt;Q356,INDEX($G$7:$G$106,R356+1),$F$2))))</x:f>
      </x:c>
      <x:c r="V356" s="14" t="str">
        <x:f>IF(R356="","",IF(Q356=0,$H$2,IF(R356=0,$H$7,IF(R356&lt;Q356,INDEX($H$7:$H$106,R356+1),$H$2))))</x:f>
      </x:c>
      <x:c r="W356" s="188" t="str">
        <x:f>IF(R356="","",IF(U356=S356,1,MAX(0,MIN(1,(P356-S356)/(U356-S356)))))</x:f>
      </x:c>
    </x:row>
    <x:row r="357">
      <x:c r="A357" s="159" t="str">
        <x:f>IF(OR(A356="",A356&gt;=$D$2),"",A356+1)</x:f>
      </x:c>
      <x:c r="B357" s="162" t="str">
        <x:f>IF(A357="","",IFERROR(SUMPRODUCT(--('Project Plan'!$A$7:$A$206&lt;&gt;""),('Project Plan'!$P$7:$P$206+('Project Plan'!$P$7:$P$206="")),--('Project Plan'!$F$7:$F$206&lt;&gt;""),--('Project Plan'!$G$7:$G$206&lt;&gt;""),((A357&gt;='Project Plan'!$G$7:$G$206)+((A357&gt;='Project Plan'!$F$7:$F$206)*(A357&lt;'Project Plan'!$G$7:$G$206)*(A357-'Project Plan'!$F$7:$F$206+1)/('Project Plan'!$G$7:$G$206-'Project Plan'!$F$7:$F$206+1))))/SUMPRODUCT(--('Project Plan'!$A$7:$A$206&lt;&gt;""),('Project Plan'!$P$7:$P$206+('Project Plan'!$P$7:$P$206=""))),0))</x:f>
      </x:c>
      <x:c r="C357" s="162" t="str">
        <x:f>IF(A357="","",IF(A357&gt;$F$2,"",IF(A357=$F$2,$H$2,IFERROR(LOOKUP(2,1/(($G$7:$G$106&lt;&gt;"")*($G$7:$G$106&lt;=A357)),$H$7:$H$106),""))))</x:f>
      </x:c>
      <x:c r="D357" s="162" t="str">
        <x:f>IF(C357="","",C357-B357)</x:f>
      </x:c>
      <x:c r="E357" s="163" t="str">
        <x:f>IF(D357="","",IF(D357&gt;=0,"On / Ahead",IF(D357&gt;=-0.05,"Watch","Behind")))</x:f>
      </x:c>
      <x:c r="J357"/>
      <x:c r="K357"/>
      <x:c r="L357"/>
      <x:c r="M357" t="str">
        <x:f>IF(A357="","",TEXT(A357,"mmm d"))</x:f>
      </x:c>
      <x:c r="N357" s="14" t="e">
        <x:f>IF(B357="",NA(),B357)</x:f>
        <x:v>#N/A</x:v>
      </x:c>
      <x:c r="O357" s="14" t="e">
        <x:f>IF(OR(P357="",$B$2="",$F$2="",P357&lt;$B$2,P357&gt;$F$2),NA(),IF(Q357=0,IF($F$2=$B$2,$H$2,MAX(0,MIN(1,$H$2*(3*MAX(0,MIN(1,(P357-$B$2)/($F$2-$B$2)))^2-2*MAX(0,MIN(1,(P357-$B$2)/($F$2-$B$2)))^3)))),MAX(0,MIN(1,T357+(V357-T357)*(3*W357^2-2*W357^3)))))</x:f>
        <x:v>#N/A</x:v>
      </x:c>
      <x:c r="P357" s="189" t="str">
        <x:f>A357</x:f>
      </x:c>
      <x:c r="Q357" t="n">
        <x:f>COUNT($G$7:$G$106)</x:f>
        <x:v>0</x:v>
      </x:c>
      <x:c r="R357" t="str">
        <x:f>IF(OR(P357="",$B$2="",$F$2="",P357&lt;$B$2,P357&gt;$F$2),"",IF(Q357=0,0,IF(P357&lt;$G$7,0,IF(P357&gt;=INDEX($G$7:$G$106,Q357),Q357,MATCH(P357,$G$7:$G$106,1)))))</x:f>
      </x:c>
      <x:c r="S357" t="str">
        <x:f>IF(R357="","",IF(R357=0,$B$2,INDEX($G$7:$G$106,R357)))</x:f>
      </x:c>
      <x:c r="T357" s="14" t="str">
        <x:f>IF(R357="","",IF(R357=0,0,INDEX($H$7:$H$106,R357)))</x:f>
      </x:c>
      <x:c r="U357" t="str">
        <x:f>IF(R357="","",IF(Q357=0,$F$2,IF(R357=0,$G$7,IF(R357&lt;Q357,INDEX($G$7:$G$106,R357+1),$F$2))))</x:f>
      </x:c>
      <x:c r="V357" s="14" t="str">
        <x:f>IF(R357="","",IF(Q357=0,$H$2,IF(R357=0,$H$7,IF(R357&lt;Q357,INDEX($H$7:$H$106,R357+1),$H$2))))</x:f>
      </x:c>
      <x:c r="W357" s="188" t="str">
        <x:f>IF(R357="","",IF(U357=S357,1,MAX(0,MIN(1,(P357-S357)/(U357-S357)))))</x:f>
      </x:c>
    </x:row>
    <x:row r="358">
      <x:c r="A358" s="159" t="str">
        <x:f>IF(OR(A357="",A357&gt;=$D$2),"",A357+1)</x:f>
      </x:c>
      <x:c r="B358" s="162" t="str">
        <x:f>IF(A358="","",IFERROR(SUMPRODUCT(--('Project Plan'!$A$7:$A$206&lt;&gt;""),('Project Plan'!$P$7:$P$206+('Project Plan'!$P$7:$P$206="")),--('Project Plan'!$F$7:$F$206&lt;&gt;""),--('Project Plan'!$G$7:$G$206&lt;&gt;""),((A358&gt;='Project Plan'!$G$7:$G$206)+((A358&gt;='Project Plan'!$F$7:$F$206)*(A358&lt;'Project Plan'!$G$7:$G$206)*(A358-'Project Plan'!$F$7:$F$206+1)/('Project Plan'!$G$7:$G$206-'Project Plan'!$F$7:$F$206+1))))/SUMPRODUCT(--('Project Plan'!$A$7:$A$206&lt;&gt;""),('Project Plan'!$P$7:$P$206+('Project Plan'!$P$7:$P$206=""))),0))</x:f>
      </x:c>
      <x:c r="C358" s="162" t="str">
        <x:f>IF(A358="","",IF(A358&gt;$F$2,"",IF(A358=$F$2,$H$2,IFERROR(LOOKUP(2,1/(($G$7:$G$106&lt;&gt;"")*($G$7:$G$106&lt;=A358)),$H$7:$H$106),""))))</x:f>
      </x:c>
      <x:c r="D358" s="162" t="str">
        <x:f>IF(C358="","",C358-B358)</x:f>
      </x:c>
      <x:c r="E358" s="163" t="str">
        <x:f>IF(D358="","",IF(D358&gt;=0,"On / Ahead",IF(D358&gt;=-0.05,"Watch","Behind")))</x:f>
      </x:c>
      <x:c r="J358"/>
      <x:c r="K358"/>
      <x:c r="L358"/>
      <x:c r="M358" t="str">
        <x:f>IF(A358="","",TEXT(A358,"mmm d"))</x:f>
      </x:c>
      <x:c r="N358" s="14" t="e">
        <x:f>IF(B358="",NA(),B358)</x:f>
        <x:v>#N/A</x:v>
      </x:c>
      <x:c r="O358" s="14" t="e">
        <x:f>IF(OR(P358="",$B$2="",$F$2="",P358&lt;$B$2,P358&gt;$F$2),NA(),IF(Q358=0,IF($F$2=$B$2,$H$2,MAX(0,MIN(1,$H$2*(3*MAX(0,MIN(1,(P358-$B$2)/($F$2-$B$2)))^2-2*MAX(0,MIN(1,(P358-$B$2)/($F$2-$B$2)))^3)))),MAX(0,MIN(1,T358+(V358-T358)*(3*W358^2-2*W358^3)))))</x:f>
        <x:v>#N/A</x:v>
      </x:c>
      <x:c r="P358" s="189" t="str">
        <x:f>A358</x:f>
      </x:c>
      <x:c r="Q358" t="n">
        <x:f>COUNT($G$7:$G$106)</x:f>
        <x:v>0</x:v>
      </x:c>
      <x:c r="R358" t="str">
        <x:f>IF(OR(P358="",$B$2="",$F$2="",P358&lt;$B$2,P358&gt;$F$2),"",IF(Q358=0,0,IF(P358&lt;$G$7,0,IF(P358&gt;=INDEX($G$7:$G$106,Q358),Q358,MATCH(P358,$G$7:$G$106,1)))))</x:f>
      </x:c>
      <x:c r="S358" t="str">
        <x:f>IF(R358="","",IF(R358=0,$B$2,INDEX($G$7:$G$106,R358)))</x:f>
      </x:c>
      <x:c r="T358" s="14" t="str">
        <x:f>IF(R358="","",IF(R358=0,0,INDEX($H$7:$H$106,R358)))</x:f>
      </x:c>
      <x:c r="U358" t="str">
        <x:f>IF(R358="","",IF(Q358=0,$F$2,IF(R358=0,$G$7,IF(R358&lt;Q358,INDEX($G$7:$G$106,R358+1),$F$2))))</x:f>
      </x:c>
      <x:c r="V358" s="14" t="str">
        <x:f>IF(R358="","",IF(Q358=0,$H$2,IF(R358=0,$H$7,IF(R358&lt;Q358,INDEX($H$7:$H$106,R358+1),$H$2))))</x:f>
      </x:c>
      <x:c r="W358" s="188" t="str">
        <x:f>IF(R358="","",IF(U358=S358,1,MAX(0,MIN(1,(P358-S358)/(U358-S358)))))</x:f>
      </x:c>
    </x:row>
    <x:row r="359">
      <x:c r="A359" s="159" t="str">
        <x:f>IF(OR(A358="",A358&gt;=$D$2),"",A358+1)</x:f>
      </x:c>
      <x:c r="B359" s="162" t="str">
        <x:f>IF(A359="","",IFERROR(SUMPRODUCT(--('Project Plan'!$A$7:$A$206&lt;&gt;""),('Project Plan'!$P$7:$P$206+('Project Plan'!$P$7:$P$206="")),--('Project Plan'!$F$7:$F$206&lt;&gt;""),--('Project Plan'!$G$7:$G$206&lt;&gt;""),((A359&gt;='Project Plan'!$G$7:$G$206)+((A359&gt;='Project Plan'!$F$7:$F$206)*(A359&lt;'Project Plan'!$G$7:$G$206)*(A359-'Project Plan'!$F$7:$F$206+1)/('Project Plan'!$G$7:$G$206-'Project Plan'!$F$7:$F$206+1))))/SUMPRODUCT(--('Project Plan'!$A$7:$A$206&lt;&gt;""),('Project Plan'!$P$7:$P$206+('Project Plan'!$P$7:$P$206=""))),0))</x:f>
      </x:c>
      <x:c r="C359" s="162" t="str">
        <x:f>IF(A359="","",IF(A359&gt;$F$2,"",IF(A359=$F$2,$H$2,IFERROR(LOOKUP(2,1/(($G$7:$G$106&lt;&gt;"")*($G$7:$G$106&lt;=A359)),$H$7:$H$106),""))))</x:f>
      </x:c>
      <x:c r="D359" s="162" t="str">
        <x:f>IF(C359="","",C359-B359)</x:f>
      </x:c>
      <x:c r="E359" s="163" t="str">
        <x:f>IF(D359="","",IF(D359&gt;=0,"On / Ahead",IF(D359&gt;=-0.05,"Watch","Behind")))</x:f>
      </x:c>
      <x:c r="J359"/>
      <x:c r="K359"/>
      <x:c r="L359"/>
      <x:c r="M359" t="str">
        <x:f>IF(A359="","",TEXT(A359,"mmm d"))</x:f>
      </x:c>
      <x:c r="N359" s="14" t="e">
        <x:f>IF(B359="",NA(),B359)</x:f>
        <x:v>#N/A</x:v>
      </x:c>
      <x:c r="O359" s="14" t="e">
        <x:f>IF(OR(P359="",$B$2="",$F$2="",P359&lt;$B$2,P359&gt;$F$2),NA(),IF(Q359=0,IF($F$2=$B$2,$H$2,MAX(0,MIN(1,$H$2*(3*MAX(0,MIN(1,(P359-$B$2)/($F$2-$B$2)))^2-2*MAX(0,MIN(1,(P359-$B$2)/($F$2-$B$2)))^3)))),MAX(0,MIN(1,T359+(V359-T359)*(3*W359^2-2*W359^3)))))</x:f>
        <x:v>#N/A</x:v>
      </x:c>
      <x:c r="P359" s="189" t="str">
        <x:f>A359</x:f>
      </x:c>
      <x:c r="Q359" t="n">
        <x:f>COUNT($G$7:$G$106)</x:f>
        <x:v>0</x:v>
      </x:c>
      <x:c r="R359" t="str">
        <x:f>IF(OR(P359="",$B$2="",$F$2="",P359&lt;$B$2,P359&gt;$F$2),"",IF(Q359=0,0,IF(P359&lt;$G$7,0,IF(P359&gt;=INDEX($G$7:$G$106,Q359),Q359,MATCH(P359,$G$7:$G$106,1)))))</x:f>
      </x:c>
      <x:c r="S359" t="str">
        <x:f>IF(R359="","",IF(R359=0,$B$2,INDEX($G$7:$G$106,R359)))</x:f>
      </x:c>
      <x:c r="T359" s="14" t="str">
        <x:f>IF(R359="","",IF(R359=0,0,INDEX($H$7:$H$106,R359)))</x:f>
      </x:c>
      <x:c r="U359" t="str">
        <x:f>IF(R359="","",IF(Q359=0,$F$2,IF(R359=0,$G$7,IF(R359&lt;Q359,INDEX($G$7:$G$106,R359+1),$F$2))))</x:f>
      </x:c>
      <x:c r="V359" s="14" t="str">
        <x:f>IF(R359="","",IF(Q359=0,$H$2,IF(R359=0,$H$7,IF(R359&lt;Q359,INDEX($H$7:$H$106,R359+1),$H$2))))</x:f>
      </x:c>
      <x:c r="W359" s="188" t="str">
        <x:f>IF(R359="","",IF(U359=S359,1,MAX(0,MIN(1,(P359-S359)/(U359-S359)))))</x:f>
      </x:c>
    </x:row>
    <x:row r="360">
      <x:c r="A360" s="159" t="str">
        <x:f>IF(OR(A359="",A359&gt;=$D$2),"",A359+1)</x:f>
      </x:c>
      <x:c r="B360" s="162" t="str">
        <x:f>IF(A360="","",IFERROR(SUMPRODUCT(--('Project Plan'!$A$7:$A$206&lt;&gt;""),('Project Plan'!$P$7:$P$206+('Project Plan'!$P$7:$P$206="")),--('Project Plan'!$F$7:$F$206&lt;&gt;""),--('Project Plan'!$G$7:$G$206&lt;&gt;""),((A360&gt;='Project Plan'!$G$7:$G$206)+((A360&gt;='Project Plan'!$F$7:$F$206)*(A360&lt;'Project Plan'!$G$7:$G$206)*(A360-'Project Plan'!$F$7:$F$206+1)/('Project Plan'!$G$7:$G$206-'Project Plan'!$F$7:$F$206+1))))/SUMPRODUCT(--('Project Plan'!$A$7:$A$206&lt;&gt;""),('Project Plan'!$P$7:$P$206+('Project Plan'!$P$7:$P$206=""))),0))</x:f>
      </x:c>
      <x:c r="C360" s="162" t="str">
        <x:f>IF(A360="","",IF(A360&gt;$F$2,"",IF(A360=$F$2,$H$2,IFERROR(LOOKUP(2,1/(($G$7:$G$106&lt;&gt;"")*($G$7:$G$106&lt;=A360)),$H$7:$H$106),""))))</x:f>
      </x:c>
      <x:c r="D360" s="162" t="str">
        <x:f>IF(C360="","",C360-B360)</x:f>
      </x:c>
      <x:c r="E360" s="163" t="str">
        <x:f>IF(D360="","",IF(D360&gt;=0,"On / Ahead",IF(D360&gt;=-0.05,"Watch","Behind")))</x:f>
      </x:c>
      <x:c r="J360"/>
      <x:c r="K360"/>
      <x:c r="L360"/>
      <x:c r="M360" t="str">
        <x:f>IF(A360="","",TEXT(A360,"mmm d"))</x:f>
      </x:c>
      <x:c r="N360" s="14" t="e">
        <x:f>IF(B360="",NA(),B360)</x:f>
        <x:v>#N/A</x:v>
      </x:c>
      <x:c r="O360" s="14" t="e">
        <x:f>IF(OR(P360="",$B$2="",$F$2="",P360&lt;$B$2,P360&gt;$F$2),NA(),IF(Q360=0,IF($F$2=$B$2,$H$2,MAX(0,MIN(1,$H$2*(3*MAX(0,MIN(1,(P360-$B$2)/($F$2-$B$2)))^2-2*MAX(0,MIN(1,(P360-$B$2)/($F$2-$B$2)))^3)))),MAX(0,MIN(1,T360+(V360-T360)*(3*W360^2-2*W360^3)))))</x:f>
        <x:v>#N/A</x:v>
      </x:c>
      <x:c r="P360" s="189" t="str">
        <x:f>A360</x:f>
      </x:c>
      <x:c r="Q360" t="n">
        <x:f>COUNT($G$7:$G$106)</x:f>
        <x:v>0</x:v>
      </x:c>
      <x:c r="R360" t="str">
        <x:f>IF(OR(P360="",$B$2="",$F$2="",P360&lt;$B$2,P360&gt;$F$2),"",IF(Q360=0,0,IF(P360&lt;$G$7,0,IF(P360&gt;=INDEX($G$7:$G$106,Q360),Q360,MATCH(P360,$G$7:$G$106,1)))))</x:f>
      </x:c>
      <x:c r="S360" t="str">
        <x:f>IF(R360="","",IF(R360=0,$B$2,INDEX($G$7:$G$106,R360)))</x:f>
      </x:c>
      <x:c r="T360" s="14" t="str">
        <x:f>IF(R360="","",IF(R360=0,0,INDEX($H$7:$H$106,R360)))</x:f>
      </x:c>
      <x:c r="U360" t="str">
        <x:f>IF(R360="","",IF(Q360=0,$F$2,IF(R360=0,$G$7,IF(R360&lt;Q360,INDEX($G$7:$G$106,R360+1),$F$2))))</x:f>
      </x:c>
      <x:c r="V360" s="14" t="str">
        <x:f>IF(R360="","",IF(Q360=0,$H$2,IF(R360=0,$H$7,IF(R360&lt;Q360,INDEX($H$7:$H$106,R360+1),$H$2))))</x:f>
      </x:c>
      <x:c r="W360" s="188" t="str">
        <x:f>IF(R360="","",IF(U360=S360,1,MAX(0,MIN(1,(P360-S360)/(U360-S360)))))</x:f>
      </x:c>
    </x:row>
    <x:row r="361">
      <x:c r="A361" s="159" t="str">
        <x:f>IF(OR(A360="",A360&gt;=$D$2),"",A360+1)</x:f>
      </x:c>
      <x:c r="B361" s="162" t="str">
        <x:f>IF(A361="","",IFERROR(SUMPRODUCT(--('Project Plan'!$A$7:$A$206&lt;&gt;""),('Project Plan'!$P$7:$P$206+('Project Plan'!$P$7:$P$206="")),--('Project Plan'!$F$7:$F$206&lt;&gt;""),--('Project Plan'!$G$7:$G$206&lt;&gt;""),((A361&gt;='Project Plan'!$G$7:$G$206)+((A361&gt;='Project Plan'!$F$7:$F$206)*(A361&lt;'Project Plan'!$G$7:$G$206)*(A361-'Project Plan'!$F$7:$F$206+1)/('Project Plan'!$G$7:$G$206-'Project Plan'!$F$7:$F$206+1))))/SUMPRODUCT(--('Project Plan'!$A$7:$A$206&lt;&gt;""),('Project Plan'!$P$7:$P$206+('Project Plan'!$P$7:$P$206=""))),0))</x:f>
      </x:c>
      <x:c r="C361" s="162" t="str">
        <x:f>IF(A361="","",IF(A361&gt;$F$2,"",IF(A361=$F$2,$H$2,IFERROR(LOOKUP(2,1/(($G$7:$G$106&lt;&gt;"")*($G$7:$G$106&lt;=A361)),$H$7:$H$106),""))))</x:f>
      </x:c>
      <x:c r="D361" s="162" t="str">
        <x:f>IF(C361="","",C361-B361)</x:f>
      </x:c>
      <x:c r="E361" s="163" t="str">
        <x:f>IF(D361="","",IF(D361&gt;=0,"On / Ahead",IF(D361&gt;=-0.05,"Watch","Behind")))</x:f>
      </x:c>
      <x:c r="J361"/>
      <x:c r="K361"/>
      <x:c r="L361"/>
      <x:c r="M361" t="str">
        <x:f>IF(A361="","",TEXT(A361,"mmm d"))</x:f>
      </x:c>
      <x:c r="N361" s="14" t="e">
        <x:f>IF(B361="",NA(),B361)</x:f>
        <x:v>#N/A</x:v>
      </x:c>
      <x:c r="O361" s="14" t="e">
        <x:f>IF(OR(P361="",$B$2="",$F$2="",P361&lt;$B$2,P361&gt;$F$2),NA(),IF(Q361=0,IF($F$2=$B$2,$H$2,MAX(0,MIN(1,$H$2*(3*MAX(0,MIN(1,(P361-$B$2)/($F$2-$B$2)))^2-2*MAX(0,MIN(1,(P361-$B$2)/($F$2-$B$2)))^3)))),MAX(0,MIN(1,T361+(V361-T361)*(3*W361^2-2*W361^3)))))</x:f>
        <x:v>#N/A</x:v>
      </x:c>
      <x:c r="P361" s="189" t="str">
        <x:f>A361</x:f>
      </x:c>
      <x:c r="Q361" t="n">
        <x:f>COUNT($G$7:$G$106)</x:f>
        <x:v>0</x:v>
      </x:c>
      <x:c r="R361" t="str">
        <x:f>IF(OR(P361="",$B$2="",$F$2="",P361&lt;$B$2,P361&gt;$F$2),"",IF(Q361=0,0,IF(P361&lt;$G$7,0,IF(P361&gt;=INDEX($G$7:$G$106,Q361),Q361,MATCH(P361,$G$7:$G$106,1)))))</x:f>
      </x:c>
      <x:c r="S361" t="str">
        <x:f>IF(R361="","",IF(R361=0,$B$2,INDEX($G$7:$G$106,R361)))</x:f>
      </x:c>
      <x:c r="T361" s="14" t="str">
        <x:f>IF(R361="","",IF(R361=0,0,INDEX($H$7:$H$106,R361)))</x:f>
      </x:c>
      <x:c r="U361" t="str">
        <x:f>IF(R361="","",IF(Q361=0,$F$2,IF(R361=0,$G$7,IF(R361&lt;Q361,INDEX($G$7:$G$106,R361+1),$F$2))))</x:f>
      </x:c>
      <x:c r="V361" s="14" t="str">
        <x:f>IF(R361="","",IF(Q361=0,$H$2,IF(R361=0,$H$7,IF(R361&lt;Q361,INDEX($H$7:$H$106,R361+1),$H$2))))</x:f>
      </x:c>
      <x:c r="W361" s="188" t="str">
        <x:f>IF(R361="","",IF(U361=S361,1,MAX(0,MIN(1,(P361-S361)/(U361-S361)))))</x:f>
      </x:c>
    </x:row>
    <x:row r="362">
      <x:c r="A362" s="159" t="str">
        <x:f>IF(OR(A361="",A361&gt;=$D$2),"",A361+1)</x:f>
      </x:c>
      <x:c r="B362" s="162" t="str">
        <x:f>IF(A362="","",IFERROR(SUMPRODUCT(--('Project Plan'!$A$7:$A$206&lt;&gt;""),('Project Plan'!$P$7:$P$206+('Project Plan'!$P$7:$P$206="")),--('Project Plan'!$F$7:$F$206&lt;&gt;""),--('Project Plan'!$G$7:$G$206&lt;&gt;""),((A362&gt;='Project Plan'!$G$7:$G$206)+((A362&gt;='Project Plan'!$F$7:$F$206)*(A362&lt;'Project Plan'!$G$7:$G$206)*(A362-'Project Plan'!$F$7:$F$206+1)/('Project Plan'!$G$7:$G$206-'Project Plan'!$F$7:$F$206+1))))/SUMPRODUCT(--('Project Plan'!$A$7:$A$206&lt;&gt;""),('Project Plan'!$P$7:$P$206+('Project Plan'!$P$7:$P$206=""))),0))</x:f>
      </x:c>
      <x:c r="C362" s="162" t="str">
        <x:f>IF(A362="","",IF(A362&gt;$F$2,"",IF(A362=$F$2,$H$2,IFERROR(LOOKUP(2,1/(($G$7:$G$106&lt;&gt;"")*($G$7:$G$106&lt;=A362)),$H$7:$H$106),""))))</x:f>
      </x:c>
      <x:c r="D362" s="162" t="str">
        <x:f>IF(C362="","",C362-B362)</x:f>
      </x:c>
      <x:c r="E362" s="163" t="str">
        <x:f>IF(D362="","",IF(D362&gt;=0,"On / Ahead",IF(D362&gt;=-0.05,"Watch","Behind")))</x:f>
      </x:c>
      <x:c r="J362"/>
      <x:c r="K362"/>
      <x:c r="L362"/>
      <x:c r="M362" t="str">
        <x:f>IF(A362="","",TEXT(A362,"mmm d"))</x:f>
      </x:c>
      <x:c r="N362" s="14" t="e">
        <x:f>IF(B362="",NA(),B362)</x:f>
        <x:v>#N/A</x:v>
      </x:c>
      <x:c r="O362" s="14" t="e">
        <x:f>IF(OR(P362="",$B$2="",$F$2="",P362&lt;$B$2,P362&gt;$F$2),NA(),IF(Q362=0,IF($F$2=$B$2,$H$2,MAX(0,MIN(1,$H$2*(3*MAX(0,MIN(1,(P362-$B$2)/($F$2-$B$2)))^2-2*MAX(0,MIN(1,(P362-$B$2)/($F$2-$B$2)))^3)))),MAX(0,MIN(1,T362+(V362-T362)*(3*W362^2-2*W362^3)))))</x:f>
        <x:v>#N/A</x:v>
      </x:c>
      <x:c r="P362" s="189" t="str">
        <x:f>A362</x:f>
      </x:c>
      <x:c r="Q362" t="n">
        <x:f>COUNT($G$7:$G$106)</x:f>
        <x:v>0</x:v>
      </x:c>
      <x:c r="R362" t="str">
        <x:f>IF(OR(P362="",$B$2="",$F$2="",P362&lt;$B$2,P362&gt;$F$2),"",IF(Q362=0,0,IF(P362&lt;$G$7,0,IF(P362&gt;=INDEX($G$7:$G$106,Q362),Q362,MATCH(P362,$G$7:$G$106,1)))))</x:f>
      </x:c>
      <x:c r="S362" t="str">
        <x:f>IF(R362="","",IF(R362=0,$B$2,INDEX($G$7:$G$106,R362)))</x:f>
      </x:c>
      <x:c r="T362" s="14" t="str">
        <x:f>IF(R362="","",IF(R362=0,0,INDEX($H$7:$H$106,R362)))</x:f>
      </x:c>
      <x:c r="U362" t="str">
        <x:f>IF(R362="","",IF(Q362=0,$F$2,IF(R362=0,$G$7,IF(R362&lt;Q362,INDEX($G$7:$G$106,R362+1),$F$2))))</x:f>
      </x:c>
      <x:c r="V362" s="14" t="str">
        <x:f>IF(R362="","",IF(Q362=0,$H$2,IF(R362=0,$H$7,IF(R362&lt;Q362,INDEX($H$7:$H$106,R362+1),$H$2))))</x:f>
      </x:c>
      <x:c r="W362" s="188" t="str">
        <x:f>IF(R362="","",IF(U362=S362,1,MAX(0,MIN(1,(P362-S362)/(U362-S362)))))</x:f>
      </x:c>
    </x:row>
    <x:row r="363">
      <x:c r="A363" s="159" t="str">
        <x:f>IF(OR(A362="",A362&gt;=$D$2),"",A362+1)</x:f>
      </x:c>
      <x:c r="B363" s="162" t="str">
        <x:f>IF(A363="","",IFERROR(SUMPRODUCT(--('Project Plan'!$A$7:$A$206&lt;&gt;""),('Project Plan'!$P$7:$P$206+('Project Plan'!$P$7:$P$206="")),--('Project Plan'!$F$7:$F$206&lt;&gt;""),--('Project Plan'!$G$7:$G$206&lt;&gt;""),((A363&gt;='Project Plan'!$G$7:$G$206)+((A363&gt;='Project Plan'!$F$7:$F$206)*(A363&lt;'Project Plan'!$G$7:$G$206)*(A363-'Project Plan'!$F$7:$F$206+1)/('Project Plan'!$G$7:$G$206-'Project Plan'!$F$7:$F$206+1))))/SUMPRODUCT(--('Project Plan'!$A$7:$A$206&lt;&gt;""),('Project Plan'!$P$7:$P$206+('Project Plan'!$P$7:$P$206=""))),0))</x:f>
      </x:c>
      <x:c r="C363" s="162" t="str">
        <x:f>IF(A363="","",IF(A363&gt;$F$2,"",IF(A363=$F$2,$H$2,IFERROR(LOOKUP(2,1/(($G$7:$G$106&lt;&gt;"")*($G$7:$G$106&lt;=A363)),$H$7:$H$106),""))))</x:f>
      </x:c>
      <x:c r="D363" s="162" t="str">
        <x:f>IF(C363="","",C363-B363)</x:f>
      </x:c>
      <x:c r="E363" s="163" t="str">
        <x:f>IF(D363="","",IF(D363&gt;=0,"On / Ahead",IF(D363&gt;=-0.05,"Watch","Behind")))</x:f>
      </x:c>
      <x:c r="J363"/>
      <x:c r="K363"/>
      <x:c r="L363"/>
      <x:c r="M363" t="str">
        <x:f>IF(A363="","",TEXT(A363,"mmm d"))</x:f>
      </x:c>
      <x:c r="N363" s="14" t="e">
        <x:f>IF(B363="",NA(),B363)</x:f>
        <x:v>#N/A</x:v>
      </x:c>
      <x:c r="O363" s="14" t="e">
        <x:f>IF(OR(P363="",$B$2="",$F$2="",P363&lt;$B$2,P363&gt;$F$2),NA(),IF(Q363=0,IF($F$2=$B$2,$H$2,MAX(0,MIN(1,$H$2*(3*MAX(0,MIN(1,(P363-$B$2)/($F$2-$B$2)))^2-2*MAX(0,MIN(1,(P363-$B$2)/($F$2-$B$2)))^3)))),MAX(0,MIN(1,T363+(V363-T363)*(3*W363^2-2*W363^3)))))</x:f>
        <x:v>#N/A</x:v>
      </x:c>
      <x:c r="P363" s="189" t="str">
        <x:f>A363</x:f>
      </x:c>
      <x:c r="Q363" t="n">
        <x:f>COUNT($G$7:$G$106)</x:f>
        <x:v>0</x:v>
      </x:c>
      <x:c r="R363" t="str">
        <x:f>IF(OR(P363="",$B$2="",$F$2="",P363&lt;$B$2,P363&gt;$F$2),"",IF(Q363=0,0,IF(P363&lt;$G$7,0,IF(P363&gt;=INDEX($G$7:$G$106,Q363),Q363,MATCH(P363,$G$7:$G$106,1)))))</x:f>
      </x:c>
      <x:c r="S363" t="str">
        <x:f>IF(R363="","",IF(R363=0,$B$2,INDEX($G$7:$G$106,R363)))</x:f>
      </x:c>
      <x:c r="T363" s="14" t="str">
        <x:f>IF(R363="","",IF(R363=0,0,INDEX($H$7:$H$106,R363)))</x:f>
      </x:c>
      <x:c r="U363" t="str">
        <x:f>IF(R363="","",IF(Q363=0,$F$2,IF(R363=0,$G$7,IF(R363&lt;Q363,INDEX($G$7:$G$106,R363+1),$F$2))))</x:f>
      </x:c>
      <x:c r="V363" s="14" t="str">
        <x:f>IF(R363="","",IF(Q363=0,$H$2,IF(R363=0,$H$7,IF(R363&lt;Q363,INDEX($H$7:$H$106,R363+1),$H$2))))</x:f>
      </x:c>
      <x:c r="W363" s="188" t="str">
        <x:f>IF(R363="","",IF(U363=S363,1,MAX(0,MIN(1,(P363-S363)/(U363-S363)))))</x:f>
      </x:c>
    </x:row>
    <x:row r="364">
      <x:c r="A364" s="159" t="str">
        <x:f>IF(OR(A363="",A363&gt;=$D$2),"",A363+1)</x:f>
      </x:c>
      <x:c r="B364" s="162" t="str">
        <x:f>IF(A364="","",IFERROR(SUMPRODUCT(--('Project Plan'!$A$7:$A$206&lt;&gt;""),('Project Plan'!$P$7:$P$206+('Project Plan'!$P$7:$P$206="")),--('Project Plan'!$F$7:$F$206&lt;&gt;""),--('Project Plan'!$G$7:$G$206&lt;&gt;""),((A364&gt;='Project Plan'!$G$7:$G$206)+((A364&gt;='Project Plan'!$F$7:$F$206)*(A364&lt;'Project Plan'!$G$7:$G$206)*(A364-'Project Plan'!$F$7:$F$206+1)/('Project Plan'!$G$7:$G$206-'Project Plan'!$F$7:$F$206+1))))/SUMPRODUCT(--('Project Plan'!$A$7:$A$206&lt;&gt;""),('Project Plan'!$P$7:$P$206+('Project Plan'!$P$7:$P$206=""))),0))</x:f>
      </x:c>
      <x:c r="C364" s="162" t="str">
        <x:f>IF(A364="","",IF(A364&gt;$F$2,"",IF(A364=$F$2,$H$2,IFERROR(LOOKUP(2,1/(($G$7:$G$106&lt;&gt;"")*($G$7:$G$106&lt;=A364)),$H$7:$H$106),""))))</x:f>
      </x:c>
      <x:c r="D364" s="162" t="str">
        <x:f>IF(C364="","",C364-B364)</x:f>
      </x:c>
      <x:c r="E364" s="163" t="str">
        <x:f>IF(D364="","",IF(D364&gt;=0,"On / Ahead",IF(D364&gt;=-0.05,"Watch","Behind")))</x:f>
      </x:c>
      <x:c r="J364"/>
      <x:c r="K364"/>
      <x:c r="L364"/>
      <x:c r="M364" t="str">
        <x:f>IF(A364="","",TEXT(A364,"mmm d"))</x:f>
      </x:c>
      <x:c r="N364" s="14" t="e">
        <x:f>IF(B364="",NA(),B364)</x:f>
        <x:v>#N/A</x:v>
      </x:c>
      <x:c r="O364" s="14" t="e">
        <x:f>IF(OR(P364="",$B$2="",$F$2="",P364&lt;$B$2,P364&gt;$F$2),NA(),IF(Q364=0,IF($F$2=$B$2,$H$2,MAX(0,MIN(1,$H$2*(3*MAX(0,MIN(1,(P364-$B$2)/($F$2-$B$2)))^2-2*MAX(0,MIN(1,(P364-$B$2)/($F$2-$B$2)))^3)))),MAX(0,MIN(1,T364+(V364-T364)*(3*W364^2-2*W364^3)))))</x:f>
        <x:v>#N/A</x:v>
      </x:c>
      <x:c r="P364" s="189" t="str">
        <x:f>A364</x:f>
      </x:c>
      <x:c r="Q364" t="n">
        <x:f>COUNT($G$7:$G$106)</x:f>
        <x:v>0</x:v>
      </x:c>
      <x:c r="R364" t="str">
        <x:f>IF(OR(P364="",$B$2="",$F$2="",P364&lt;$B$2,P364&gt;$F$2),"",IF(Q364=0,0,IF(P364&lt;$G$7,0,IF(P364&gt;=INDEX($G$7:$G$106,Q364),Q364,MATCH(P364,$G$7:$G$106,1)))))</x:f>
      </x:c>
      <x:c r="S364" t="str">
        <x:f>IF(R364="","",IF(R364=0,$B$2,INDEX($G$7:$G$106,R364)))</x:f>
      </x:c>
      <x:c r="T364" s="14" t="str">
        <x:f>IF(R364="","",IF(R364=0,0,INDEX($H$7:$H$106,R364)))</x:f>
      </x:c>
      <x:c r="U364" t="str">
        <x:f>IF(R364="","",IF(Q364=0,$F$2,IF(R364=0,$G$7,IF(R364&lt;Q364,INDEX($G$7:$G$106,R364+1),$F$2))))</x:f>
      </x:c>
      <x:c r="V364" s="14" t="str">
        <x:f>IF(R364="","",IF(Q364=0,$H$2,IF(R364=0,$H$7,IF(R364&lt;Q364,INDEX($H$7:$H$106,R364+1),$H$2))))</x:f>
      </x:c>
      <x:c r="W364" s="188" t="str">
        <x:f>IF(R364="","",IF(U364=S364,1,MAX(0,MIN(1,(P364-S364)/(U364-S364)))))</x:f>
      </x:c>
    </x:row>
    <x:row r="365">
      <x:c r="A365" s="159" t="str">
        <x:f>IF(OR(A364="",A364&gt;=$D$2),"",A364+1)</x:f>
      </x:c>
      <x:c r="B365" s="162" t="str">
        <x:f>IF(A365="","",IFERROR(SUMPRODUCT(--('Project Plan'!$A$7:$A$206&lt;&gt;""),('Project Plan'!$P$7:$P$206+('Project Plan'!$P$7:$P$206="")),--('Project Plan'!$F$7:$F$206&lt;&gt;""),--('Project Plan'!$G$7:$G$206&lt;&gt;""),((A365&gt;='Project Plan'!$G$7:$G$206)+((A365&gt;='Project Plan'!$F$7:$F$206)*(A365&lt;'Project Plan'!$G$7:$G$206)*(A365-'Project Plan'!$F$7:$F$206+1)/('Project Plan'!$G$7:$G$206-'Project Plan'!$F$7:$F$206+1))))/SUMPRODUCT(--('Project Plan'!$A$7:$A$206&lt;&gt;""),('Project Plan'!$P$7:$P$206+('Project Plan'!$P$7:$P$206=""))),0))</x:f>
      </x:c>
      <x:c r="C365" s="162" t="str">
        <x:f>IF(A365="","",IF(A365&gt;$F$2,"",IF(A365=$F$2,$H$2,IFERROR(LOOKUP(2,1/(($G$7:$G$106&lt;&gt;"")*($G$7:$G$106&lt;=A365)),$H$7:$H$106),""))))</x:f>
      </x:c>
      <x:c r="D365" s="162" t="str">
        <x:f>IF(C365="","",C365-B365)</x:f>
      </x:c>
      <x:c r="E365" s="163" t="str">
        <x:f>IF(D365="","",IF(D365&gt;=0,"On / Ahead",IF(D365&gt;=-0.05,"Watch","Behind")))</x:f>
      </x:c>
      <x:c r="J365"/>
      <x:c r="K365"/>
      <x:c r="L365"/>
      <x:c r="M365" t="str">
        <x:f>IF(A365="","",TEXT(A365,"mmm d"))</x:f>
      </x:c>
      <x:c r="N365" s="14" t="e">
        <x:f>IF(B365="",NA(),B365)</x:f>
        <x:v>#N/A</x:v>
      </x:c>
      <x:c r="O365" s="14" t="e">
        <x:f>IF(OR(P365="",$B$2="",$F$2="",P365&lt;$B$2,P365&gt;$F$2),NA(),IF(Q365=0,IF($F$2=$B$2,$H$2,MAX(0,MIN(1,$H$2*(3*MAX(0,MIN(1,(P365-$B$2)/($F$2-$B$2)))^2-2*MAX(0,MIN(1,(P365-$B$2)/($F$2-$B$2)))^3)))),MAX(0,MIN(1,T365+(V365-T365)*(3*W365^2-2*W365^3)))))</x:f>
        <x:v>#N/A</x:v>
      </x:c>
      <x:c r="P365" s="189" t="str">
        <x:f>A365</x:f>
      </x:c>
      <x:c r="Q365" t="n">
        <x:f>COUNT($G$7:$G$106)</x:f>
        <x:v>0</x:v>
      </x:c>
      <x:c r="R365" t="str">
        <x:f>IF(OR(P365="",$B$2="",$F$2="",P365&lt;$B$2,P365&gt;$F$2),"",IF(Q365=0,0,IF(P365&lt;$G$7,0,IF(P365&gt;=INDEX($G$7:$G$106,Q365),Q365,MATCH(P365,$G$7:$G$106,1)))))</x:f>
      </x:c>
      <x:c r="S365" t="str">
        <x:f>IF(R365="","",IF(R365=0,$B$2,INDEX($G$7:$G$106,R365)))</x:f>
      </x:c>
      <x:c r="T365" s="14" t="str">
        <x:f>IF(R365="","",IF(R365=0,0,INDEX($H$7:$H$106,R365)))</x:f>
      </x:c>
      <x:c r="U365" t="str">
        <x:f>IF(R365="","",IF(Q365=0,$F$2,IF(R365=0,$G$7,IF(R365&lt;Q365,INDEX($G$7:$G$106,R365+1),$F$2))))</x:f>
      </x:c>
      <x:c r="V365" s="14" t="str">
        <x:f>IF(R365="","",IF(Q365=0,$H$2,IF(R365=0,$H$7,IF(R365&lt;Q365,INDEX($H$7:$H$106,R365+1),$H$2))))</x:f>
      </x:c>
      <x:c r="W365" s="188" t="str">
        <x:f>IF(R365="","",IF(U365=S365,1,MAX(0,MIN(1,(P365-S365)/(U365-S365)))))</x:f>
      </x:c>
    </x:row>
    <x:row r="366">
      <x:c r="A366" s="159" t="str">
        <x:f>IF(OR(A365="",A365&gt;=$D$2),"",A365+1)</x:f>
      </x:c>
      <x:c r="B366" s="162" t="str">
        <x:f>IF(A366="","",IFERROR(SUMPRODUCT(--('Project Plan'!$A$7:$A$206&lt;&gt;""),('Project Plan'!$P$7:$P$206+('Project Plan'!$P$7:$P$206="")),--('Project Plan'!$F$7:$F$206&lt;&gt;""),--('Project Plan'!$G$7:$G$206&lt;&gt;""),((A366&gt;='Project Plan'!$G$7:$G$206)+((A366&gt;='Project Plan'!$F$7:$F$206)*(A366&lt;'Project Plan'!$G$7:$G$206)*(A366-'Project Plan'!$F$7:$F$206+1)/('Project Plan'!$G$7:$G$206-'Project Plan'!$F$7:$F$206+1))))/SUMPRODUCT(--('Project Plan'!$A$7:$A$206&lt;&gt;""),('Project Plan'!$P$7:$P$206+('Project Plan'!$P$7:$P$206=""))),0))</x:f>
      </x:c>
      <x:c r="C366" s="162" t="str">
        <x:f>IF(A366="","",IF(A366&gt;$F$2,"",IF(A366=$F$2,$H$2,IFERROR(LOOKUP(2,1/(($G$7:$G$106&lt;&gt;"")*($G$7:$G$106&lt;=A366)),$H$7:$H$106),""))))</x:f>
      </x:c>
      <x:c r="D366" s="162" t="str">
        <x:f>IF(C366="","",C366-B366)</x:f>
      </x:c>
      <x:c r="E366" s="163" t="str">
        <x:f>IF(D366="","",IF(D366&gt;=0,"On / Ahead",IF(D366&gt;=-0.05,"Watch","Behind")))</x:f>
      </x:c>
      <x:c r="J366"/>
      <x:c r="K366"/>
      <x:c r="L366"/>
      <x:c r="M366" t="str">
        <x:f>IF(A366="","",TEXT(A366,"mmm d"))</x:f>
      </x:c>
      <x:c r="N366" s="14" t="e">
        <x:f>IF(B366="",NA(),B366)</x:f>
        <x:v>#N/A</x:v>
      </x:c>
      <x:c r="O366" s="14" t="e">
        <x:f>IF(OR(P366="",$B$2="",$F$2="",P366&lt;$B$2,P366&gt;$F$2),NA(),IF(Q366=0,IF($F$2=$B$2,$H$2,MAX(0,MIN(1,$H$2*(3*MAX(0,MIN(1,(P366-$B$2)/($F$2-$B$2)))^2-2*MAX(0,MIN(1,(P366-$B$2)/($F$2-$B$2)))^3)))),MAX(0,MIN(1,T366+(V366-T366)*(3*W366^2-2*W366^3)))))</x:f>
        <x:v>#N/A</x:v>
      </x:c>
      <x:c r="P366" s="189" t="str">
        <x:f>A366</x:f>
      </x:c>
      <x:c r="Q366" t="n">
        <x:f>COUNT($G$7:$G$106)</x:f>
        <x:v>0</x:v>
      </x:c>
      <x:c r="R366" t="str">
        <x:f>IF(OR(P366="",$B$2="",$F$2="",P366&lt;$B$2,P366&gt;$F$2),"",IF(Q366=0,0,IF(P366&lt;$G$7,0,IF(P366&gt;=INDEX($G$7:$G$106,Q366),Q366,MATCH(P366,$G$7:$G$106,1)))))</x:f>
      </x:c>
      <x:c r="S366" t="str">
        <x:f>IF(R366="","",IF(R366=0,$B$2,INDEX($G$7:$G$106,R366)))</x:f>
      </x:c>
      <x:c r="T366" s="14" t="str">
        <x:f>IF(R366="","",IF(R366=0,0,INDEX($H$7:$H$106,R366)))</x:f>
      </x:c>
      <x:c r="U366" t="str">
        <x:f>IF(R366="","",IF(Q366=0,$F$2,IF(R366=0,$G$7,IF(R366&lt;Q366,INDEX($G$7:$G$106,R366+1),$F$2))))</x:f>
      </x:c>
      <x:c r="V366" s="14" t="str">
        <x:f>IF(R366="","",IF(Q366=0,$H$2,IF(R366=0,$H$7,IF(R366&lt;Q366,INDEX($H$7:$H$106,R366+1),$H$2))))</x:f>
      </x:c>
      <x:c r="W366" s="188" t="str">
        <x:f>IF(R366="","",IF(U366=S366,1,MAX(0,MIN(1,(P366-S366)/(U366-S366)))))</x:f>
      </x:c>
    </x:row>
    <x:row r="367">
      <x:c r="A367" s="159" t="str">
        <x:f>IF(OR(A366="",A366&gt;=$D$2),"",A366+1)</x:f>
      </x:c>
      <x:c r="B367" s="162" t="str">
        <x:f>IF(A367="","",IFERROR(SUMPRODUCT(--('Project Plan'!$A$7:$A$206&lt;&gt;""),('Project Plan'!$P$7:$P$206+('Project Plan'!$P$7:$P$206="")),--('Project Plan'!$F$7:$F$206&lt;&gt;""),--('Project Plan'!$G$7:$G$206&lt;&gt;""),((A367&gt;='Project Plan'!$G$7:$G$206)+((A367&gt;='Project Plan'!$F$7:$F$206)*(A367&lt;'Project Plan'!$G$7:$G$206)*(A367-'Project Plan'!$F$7:$F$206+1)/('Project Plan'!$G$7:$G$206-'Project Plan'!$F$7:$F$206+1))))/SUMPRODUCT(--('Project Plan'!$A$7:$A$206&lt;&gt;""),('Project Plan'!$P$7:$P$206+('Project Plan'!$P$7:$P$206=""))),0))</x:f>
      </x:c>
      <x:c r="C367" s="162" t="str">
        <x:f>IF(A367="","",IF(A367&gt;$F$2,"",IF(A367=$F$2,$H$2,IFERROR(LOOKUP(2,1/(($G$7:$G$106&lt;&gt;"")*($G$7:$G$106&lt;=A367)),$H$7:$H$106),""))))</x:f>
      </x:c>
      <x:c r="D367" s="162" t="str">
        <x:f>IF(C367="","",C367-B367)</x:f>
      </x:c>
      <x:c r="E367" s="163" t="str">
        <x:f>IF(D367="","",IF(D367&gt;=0,"On / Ahead",IF(D367&gt;=-0.05,"Watch","Behind")))</x:f>
      </x:c>
      <x:c r="J367"/>
      <x:c r="K367"/>
      <x:c r="L367"/>
      <x:c r="M367" t="str">
        <x:f>IF(A367="","",TEXT(A367,"mmm d"))</x:f>
      </x:c>
      <x:c r="N367" s="14" t="e">
        <x:f>IF(B367="",NA(),B367)</x:f>
        <x:v>#N/A</x:v>
      </x:c>
      <x:c r="O367" s="14" t="e">
        <x:f>IF(OR(P367="",$B$2="",$F$2="",P367&lt;$B$2,P367&gt;$F$2),NA(),IF(Q367=0,IF($F$2=$B$2,$H$2,MAX(0,MIN(1,$H$2*(3*MAX(0,MIN(1,(P367-$B$2)/($F$2-$B$2)))^2-2*MAX(0,MIN(1,(P367-$B$2)/($F$2-$B$2)))^3)))),MAX(0,MIN(1,T367+(V367-T367)*(3*W367^2-2*W367^3)))))</x:f>
        <x:v>#N/A</x:v>
      </x:c>
      <x:c r="P367" s="189" t="str">
        <x:f>A367</x:f>
      </x:c>
      <x:c r="Q367" t="n">
        <x:f>COUNT($G$7:$G$106)</x:f>
        <x:v>0</x:v>
      </x:c>
      <x:c r="R367" t="str">
        <x:f>IF(OR(P367="",$B$2="",$F$2="",P367&lt;$B$2,P367&gt;$F$2),"",IF(Q367=0,0,IF(P367&lt;$G$7,0,IF(P367&gt;=INDEX($G$7:$G$106,Q367),Q367,MATCH(P367,$G$7:$G$106,1)))))</x:f>
      </x:c>
      <x:c r="S367" t="str">
        <x:f>IF(R367="","",IF(R367=0,$B$2,INDEX($G$7:$G$106,R367)))</x:f>
      </x:c>
      <x:c r="T367" s="14" t="str">
        <x:f>IF(R367="","",IF(R367=0,0,INDEX($H$7:$H$106,R367)))</x:f>
      </x:c>
      <x:c r="U367" t="str">
        <x:f>IF(R367="","",IF(Q367=0,$F$2,IF(R367=0,$G$7,IF(R367&lt;Q367,INDEX($G$7:$G$106,R367+1),$F$2))))</x:f>
      </x:c>
      <x:c r="V367" s="14" t="str">
        <x:f>IF(R367="","",IF(Q367=0,$H$2,IF(R367=0,$H$7,IF(R367&lt;Q367,INDEX($H$7:$H$106,R367+1),$H$2))))</x:f>
      </x:c>
      <x:c r="W367" s="188" t="str">
        <x:f>IF(R367="","",IF(U367=S367,1,MAX(0,MIN(1,(P367-S367)/(U367-S367)))))</x:f>
      </x:c>
    </x:row>
    <x:row r="368">
      <x:c r="A368" s="159" t="str">
        <x:f>IF(OR(A367="",A367&gt;=$D$2),"",A367+1)</x:f>
      </x:c>
      <x:c r="B368" s="162" t="str">
        <x:f>IF(A368="","",IFERROR(SUMPRODUCT(--('Project Plan'!$A$7:$A$206&lt;&gt;""),('Project Plan'!$P$7:$P$206+('Project Plan'!$P$7:$P$206="")),--('Project Plan'!$F$7:$F$206&lt;&gt;""),--('Project Plan'!$G$7:$G$206&lt;&gt;""),((A368&gt;='Project Plan'!$G$7:$G$206)+((A368&gt;='Project Plan'!$F$7:$F$206)*(A368&lt;'Project Plan'!$G$7:$G$206)*(A368-'Project Plan'!$F$7:$F$206+1)/('Project Plan'!$G$7:$G$206-'Project Plan'!$F$7:$F$206+1))))/SUMPRODUCT(--('Project Plan'!$A$7:$A$206&lt;&gt;""),('Project Plan'!$P$7:$P$206+('Project Plan'!$P$7:$P$206=""))),0))</x:f>
      </x:c>
      <x:c r="C368" s="162" t="str">
        <x:f>IF(A368="","",IF(A368&gt;$F$2,"",IF(A368=$F$2,$H$2,IFERROR(LOOKUP(2,1/(($G$7:$G$106&lt;&gt;"")*($G$7:$G$106&lt;=A368)),$H$7:$H$106),""))))</x:f>
      </x:c>
      <x:c r="D368" s="162" t="str">
        <x:f>IF(C368="","",C368-B368)</x:f>
      </x:c>
      <x:c r="E368" s="163" t="str">
        <x:f>IF(D368="","",IF(D368&gt;=0,"On / Ahead",IF(D368&gt;=-0.05,"Watch","Behind")))</x:f>
      </x:c>
      <x:c r="J368"/>
      <x:c r="K368"/>
      <x:c r="L368"/>
      <x:c r="M368" t="str">
        <x:f>IF(A368="","",TEXT(A368,"mmm d"))</x:f>
      </x:c>
      <x:c r="N368" s="14" t="e">
        <x:f>IF(B368="",NA(),B368)</x:f>
        <x:v>#N/A</x:v>
      </x:c>
      <x:c r="O368" s="14" t="e">
        <x:f>IF(OR(P368="",$B$2="",$F$2="",P368&lt;$B$2,P368&gt;$F$2),NA(),IF(Q368=0,IF($F$2=$B$2,$H$2,MAX(0,MIN(1,$H$2*(3*MAX(0,MIN(1,(P368-$B$2)/($F$2-$B$2)))^2-2*MAX(0,MIN(1,(P368-$B$2)/($F$2-$B$2)))^3)))),MAX(0,MIN(1,T368+(V368-T368)*(3*W368^2-2*W368^3)))))</x:f>
        <x:v>#N/A</x:v>
      </x:c>
      <x:c r="P368" s="189" t="str">
        <x:f>A368</x:f>
      </x:c>
      <x:c r="Q368" t="n">
        <x:f>COUNT($G$7:$G$106)</x:f>
        <x:v>0</x:v>
      </x:c>
      <x:c r="R368" t="str">
        <x:f>IF(OR(P368="",$B$2="",$F$2="",P368&lt;$B$2,P368&gt;$F$2),"",IF(Q368=0,0,IF(P368&lt;$G$7,0,IF(P368&gt;=INDEX($G$7:$G$106,Q368),Q368,MATCH(P368,$G$7:$G$106,1)))))</x:f>
      </x:c>
      <x:c r="S368" t="str">
        <x:f>IF(R368="","",IF(R368=0,$B$2,INDEX($G$7:$G$106,R368)))</x:f>
      </x:c>
      <x:c r="T368" s="14" t="str">
        <x:f>IF(R368="","",IF(R368=0,0,INDEX($H$7:$H$106,R368)))</x:f>
      </x:c>
      <x:c r="U368" t="str">
        <x:f>IF(R368="","",IF(Q368=0,$F$2,IF(R368=0,$G$7,IF(R368&lt;Q368,INDEX($G$7:$G$106,R368+1),$F$2))))</x:f>
      </x:c>
      <x:c r="V368" s="14" t="str">
        <x:f>IF(R368="","",IF(Q368=0,$H$2,IF(R368=0,$H$7,IF(R368&lt;Q368,INDEX($H$7:$H$106,R368+1),$H$2))))</x:f>
      </x:c>
      <x:c r="W368" s="188" t="str">
        <x:f>IF(R368="","",IF(U368=S368,1,MAX(0,MIN(1,(P368-S368)/(U368-S368)))))</x:f>
      </x:c>
    </x:row>
    <x:row r="369">
      <x:c r="A369" s="159" t="str">
        <x:f>IF(OR(A368="",A368&gt;=$D$2),"",A368+1)</x:f>
      </x:c>
      <x:c r="B369" s="162" t="str">
        <x:f>IF(A369="","",IFERROR(SUMPRODUCT(--('Project Plan'!$A$7:$A$206&lt;&gt;""),('Project Plan'!$P$7:$P$206+('Project Plan'!$P$7:$P$206="")),--('Project Plan'!$F$7:$F$206&lt;&gt;""),--('Project Plan'!$G$7:$G$206&lt;&gt;""),((A369&gt;='Project Plan'!$G$7:$G$206)+((A369&gt;='Project Plan'!$F$7:$F$206)*(A369&lt;'Project Plan'!$G$7:$G$206)*(A369-'Project Plan'!$F$7:$F$206+1)/('Project Plan'!$G$7:$G$206-'Project Plan'!$F$7:$F$206+1))))/SUMPRODUCT(--('Project Plan'!$A$7:$A$206&lt;&gt;""),('Project Plan'!$P$7:$P$206+('Project Plan'!$P$7:$P$206=""))),0))</x:f>
      </x:c>
      <x:c r="C369" s="162" t="str">
        <x:f>IF(A369="","",IF(A369&gt;$F$2,"",IF(A369=$F$2,$H$2,IFERROR(LOOKUP(2,1/(($G$7:$G$106&lt;&gt;"")*($G$7:$G$106&lt;=A369)),$H$7:$H$106),""))))</x:f>
      </x:c>
      <x:c r="D369" s="162" t="str">
        <x:f>IF(C369="","",C369-B369)</x:f>
      </x:c>
      <x:c r="E369" s="163" t="str">
        <x:f>IF(D369="","",IF(D369&gt;=0,"On / Ahead",IF(D369&gt;=-0.05,"Watch","Behind")))</x:f>
      </x:c>
      <x:c r="J369"/>
      <x:c r="K369"/>
      <x:c r="L369"/>
      <x:c r="M369" t="str">
        <x:f>IF(A369="","",TEXT(A369,"mmm d"))</x:f>
      </x:c>
      <x:c r="N369" s="14" t="e">
        <x:f>IF(B369="",NA(),B369)</x:f>
        <x:v>#N/A</x:v>
      </x:c>
      <x:c r="O369" s="14" t="e">
        <x:f>IF(OR(P369="",$B$2="",$F$2="",P369&lt;$B$2,P369&gt;$F$2),NA(),IF(Q369=0,IF($F$2=$B$2,$H$2,MAX(0,MIN(1,$H$2*(3*MAX(0,MIN(1,(P369-$B$2)/($F$2-$B$2)))^2-2*MAX(0,MIN(1,(P369-$B$2)/($F$2-$B$2)))^3)))),MAX(0,MIN(1,T369+(V369-T369)*(3*W369^2-2*W369^3)))))</x:f>
        <x:v>#N/A</x:v>
      </x:c>
      <x:c r="P369" s="189" t="str">
        <x:f>A369</x:f>
      </x:c>
      <x:c r="Q369" t="n">
        <x:f>COUNT($G$7:$G$106)</x:f>
        <x:v>0</x:v>
      </x:c>
      <x:c r="R369" t="str">
        <x:f>IF(OR(P369="",$B$2="",$F$2="",P369&lt;$B$2,P369&gt;$F$2),"",IF(Q369=0,0,IF(P369&lt;$G$7,0,IF(P369&gt;=INDEX($G$7:$G$106,Q369),Q369,MATCH(P369,$G$7:$G$106,1)))))</x:f>
      </x:c>
      <x:c r="S369" t="str">
        <x:f>IF(R369="","",IF(R369=0,$B$2,INDEX($G$7:$G$106,R369)))</x:f>
      </x:c>
      <x:c r="T369" s="14" t="str">
        <x:f>IF(R369="","",IF(R369=0,0,INDEX($H$7:$H$106,R369)))</x:f>
      </x:c>
      <x:c r="U369" t="str">
        <x:f>IF(R369="","",IF(Q369=0,$F$2,IF(R369=0,$G$7,IF(R369&lt;Q369,INDEX($G$7:$G$106,R369+1),$F$2))))</x:f>
      </x:c>
      <x:c r="V369" s="14" t="str">
        <x:f>IF(R369="","",IF(Q369=0,$H$2,IF(R369=0,$H$7,IF(R369&lt;Q369,INDEX($H$7:$H$106,R369+1),$H$2))))</x:f>
      </x:c>
      <x:c r="W369" s="188" t="str">
        <x:f>IF(R369="","",IF(U369=S369,1,MAX(0,MIN(1,(P369-S369)/(U369-S369)))))</x:f>
      </x:c>
    </x:row>
    <x:row r="370">
      <x:c r="A370" s="159" t="str">
        <x:f>IF(OR(A369="",A369&gt;=$D$2),"",A369+1)</x:f>
      </x:c>
      <x:c r="B370" s="162" t="str">
        <x:f>IF(A370="","",IFERROR(SUMPRODUCT(--('Project Plan'!$A$7:$A$206&lt;&gt;""),('Project Plan'!$P$7:$P$206+('Project Plan'!$P$7:$P$206="")),--('Project Plan'!$F$7:$F$206&lt;&gt;""),--('Project Plan'!$G$7:$G$206&lt;&gt;""),((A370&gt;='Project Plan'!$G$7:$G$206)+((A370&gt;='Project Plan'!$F$7:$F$206)*(A370&lt;'Project Plan'!$G$7:$G$206)*(A370-'Project Plan'!$F$7:$F$206+1)/('Project Plan'!$G$7:$G$206-'Project Plan'!$F$7:$F$206+1))))/SUMPRODUCT(--('Project Plan'!$A$7:$A$206&lt;&gt;""),('Project Plan'!$P$7:$P$206+('Project Plan'!$P$7:$P$206=""))),0))</x:f>
      </x:c>
      <x:c r="C370" s="162" t="str">
        <x:f>IF(A370="","",IF(A370&gt;$F$2,"",IF(A370=$F$2,$H$2,IFERROR(LOOKUP(2,1/(($G$7:$G$106&lt;&gt;"")*($G$7:$G$106&lt;=A370)),$H$7:$H$106),""))))</x:f>
      </x:c>
      <x:c r="D370" s="162" t="str">
        <x:f>IF(C370="","",C370-B370)</x:f>
      </x:c>
      <x:c r="E370" s="163" t="str">
        <x:f>IF(D370="","",IF(D370&gt;=0,"On / Ahead",IF(D370&gt;=-0.05,"Watch","Behind")))</x:f>
      </x:c>
      <x:c r="J370"/>
      <x:c r="K370"/>
      <x:c r="L370"/>
      <x:c r="M370" t="str">
        <x:f>IF(A370="","",TEXT(A370,"mmm d"))</x:f>
      </x:c>
      <x:c r="N370" s="14" t="e">
        <x:f>IF(B370="",NA(),B370)</x:f>
        <x:v>#N/A</x:v>
      </x:c>
      <x:c r="O370" s="14" t="e">
        <x:f>IF(OR(P370="",$B$2="",$F$2="",P370&lt;$B$2,P370&gt;$F$2),NA(),IF(Q370=0,IF($F$2=$B$2,$H$2,MAX(0,MIN(1,$H$2*(3*MAX(0,MIN(1,(P370-$B$2)/($F$2-$B$2)))^2-2*MAX(0,MIN(1,(P370-$B$2)/($F$2-$B$2)))^3)))),MAX(0,MIN(1,T370+(V370-T370)*(3*W370^2-2*W370^3)))))</x:f>
        <x:v>#N/A</x:v>
      </x:c>
      <x:c r="P370" s="189" t="str">
        <x:f>A370</x:f>
      </x:c>
      <x:c r="Q370" t="n">
        <x:f>COUNT($G$7:$G$106)</x:f>
        <x:v>0</x:v>
      </x:c>
      <x:c r="R370" t="str">
        <x:f>IF(OR(P370="",$B$2="",$F$2="",P370&lt;$B$2,P370&gt;$F$2),"",IF(Q370=0,0,IF(P370&lt;$G$7,0,IF(P370&gt;=INDEX($G$7:$G$106,Q370),Q370,MATCH(P370,$G$7:$G$106,1)))))</x:f>
      </x:c>
      <x:c r="S370" t="str">
        <x:f>IF(R370="","",IF(R370=0,$B$2,INDEX($G$7:$G$106,R370)))</x:f>
      </x:c>
      <x:c r="T370" s="14" t="str">
        <x:f>IF(R370="","",IF(R370=0,0,INDEX($H$7:$H$106,R370)))</x:f>
      </x:c>
      <x:c r="U370" t="str">
        <x:f>IF(R370="","",IF(Q370=0,$F$2,IF(R370=0,$G$7,IF(R370&lt;Q370,INDEX($G$7:$G$106,R370+1),$F$2))))</x:f>
      </x:c>
      <x:c r="V370" s="14" t="str">
        <x:f>IF(R370="","",IF(Q370=0,$H$2,IF(R370=0,$H$7,IF(R370&lt;Q370,INDEX($H$7:$H$106,R370+1),$H$2))))</x:f>
      </x:c>
      <x:c r="W370" s="188" t="str">
        <x:f>IF(R370="","",IF(U370=S370,1,MAX(0,MIN(1,(P370-S370)/(U370-S370)))))</x:f>
      </x:c>
    </x:row>
    <x:row r="371">
      <x:c r="A371" s="159" t="str">
        <x:f>IF(OR(A370="",A370&gt;=$D$2),"",A370+1)</x:f>
      </x:c>
      <x:c r="B371" s="162" t="str">
        <x:f>IF(A371="","",IFERROR(SUMPRODUCT(--('Project Plan'!$A$7:$A$206&lt;&gt;""),('Project Plan'!$P$7:$P$206+('Project Plan'!$P$7:$P$206="")),--('Project Plan'!$F$7:$F$206&lt;&gt;""),--('Project Plan'!$G$7:$G$206&lt;&gt;""),((A371&gt;='Project Plan'!$G$7:$G$206)+((A371&gt;='Project Plan'!$F$7:$F$206)*(A371&lt;'Project Plan'!$G$7:$G$206)*(A371-'Project Plan'!$F$7:$F$206+1)/('Project Plan'!$G$7:$G$206-'Project Plan'!$F$7:$F$206+1))))/SUMPRODUCT(--('Project Plan'!$A$7:$A$206&lt;&gt;""),('Project Plan'!$P$7:$P$206+('Project Plan'!$P$7:$P$206=""))),0))</x:f>
      </x:c>
      <x:c r="C371" s="162" t="str">
        <x:f>IF(A371="","",IF(A371&gt;$F$2,"",IF(A371=$F$2,$H$2,IFERROR(LOOKUP(2,1/(($G$7:$G$106&lt;&gt;"")*($G$7:$G$106&lt;=A371)),$H$7:$H$106),""))))</x:f>
      </x:c>
      <x:c r="D371" s="162" t="str">
        <x:f>IF(C371="","",C371-B371)</x:f>
      </x:c>
      <x:c r="E371" s="163" t="str">
        <x:f>IF(D371="","",IF(D371&gt;=0,"On / Ahead",IF(D371&gt;=-0.05,"Watch","Behind")))</x:f>
      </x:c>
      <x:c r="J371"/>
      <x:c r="K371"/>
      <x:c r="L371"/>
      <x:c r="M371" t="str">
        <x:f>IF(A371="","",TEXT(A371,"mmm d"))</x:f>
      </x:c>
      <x:c r="N371" s="14" t="e">
        <x:f>IF(B371="",NA(),B371)</x:f>
        <x:v>#N/A</x:v>
      </x:c>
      <x:c r="O371" s="14" t="e">
        <x:f>IF(OR(P371="",$B$2="",$F$2="",P371&lt;$B$2,P371&gt;$F$2),NA(),IF(Q371=0,IF($F$2=$B$2,$H$2,MAX(0,MIN(1,$H$2*(3*MAX(0,MIN(1,(P371-$B$2)/($F$2-$B$2)))^2-2*MAX(0,MIN(1,(P371-$B$2)/($F$2-$B$2)))^3)))),MAX(0,MIN(1,T371+(V371-T371)*(3*W371^2-2*W371^3)))))</x:f>
        <x:v>#N/A</x:v>
      </x:c>
      <x:c r="P371" s="189" t="str">
        <x:f>A371</x:f>
      </x:c>
      <x:c r="Q371" t="n">
        <x:f>COUNT($G$7:$G$106)</x:f>
        <x:v>0</x:v>
      </x:c>
      <x:c r="R371" t="str">
        <x:f>IF(OR(P371="",$B$2="",$F$2="",P371&lt;$B$2,P371&gt;$F$2),"",IF(Q371=0,0,IF(P371&lt;$G$7,0,IF(P371&gt;=INDEX($G$7:$G$106,Q371),Q371,MATCH(P371,$G$7:$G$106,1)))))</x:f>
      </x:c>
      <x:c r="S371" t="str">
        <x:f>IF(R371="","",IF(R371=0,$B$2,INDEX($G$7:$G$106,R371)))</x:f>
      </x:c>
      <x:c r="T371" s="14" t="str">
        <x:f>IF(R371="","",IF(R371=0,0,INDEX($H$7:$H$106,R371)))</x:f>
      </x:c>
      <x:c r="U371" t="str">
        <x:f>IF(R371="","",IF(Q371=0,$F$2,IF(R371=0,$G$7,IF(R371&lt;Q371,INDEX($G$7:$G$106,R371+1),$F$2))))</x:f>
      </x:c>
      <x:c r="V371" s="14" t="str">
        <x:f>IF(R371="","",IF(Q371=0,$H$2,IF(R371=0,$H$7,IF(R371&lt;Q371,INDEX($H$7:$H$106,R371+1),$H$2))))</x:f>
      </x:c>
      <x:c r="W371" s="188" t="str">
        <x:f>IF(R371="","",IF(U371=S371,1,MAX(0,MIN(1,(P371-S371)/(U371-S371)))))</x:f>
      </x:c>
    </x:row>
    <x:row r="372">
      <x:c r="A372" s="159" t="str">
        <x:f>IF(OR(A371="",A371&gt;=$D$2),"",A371+1)</x:f>
      </x:c>
      <x:c r="B372" s="162" t="str">
        <x:f>IF(A372="","",IFERROR(SUMPRODUCT(--('Project Plan'!$A$7:$A$206&lt;&gt;""),('Project Plan'!$P$7:$P$206+('Project Plan'!$P$7:$P$206="")),--('Project Plan'!$F$7:$F$206&lt;&gt;""),--('Project Plan'!$G$7:$G$206&lt;&gt;""),((A372&gt;='Project Plan'!$G$7:$G$206)+((A372&gt;='Project Plan'!$F$7:$F$206)*(A372&lt;'Project Plan'!$G$7:$G$206)*(A372-'Project Plan'!$F$7:$F$206+1)/('Project Plan'!$G$7:$G$206-'Project Plan'!$F$7:$F$206+1))))/SUMPRODUCT(--('Project Plan'!$A$7:$A$206&lt;&gt;""),('Project Plan'!$P$7:$P$206+('Project Plan'!$P$7:$P$206=""))),0))</x:f>
      </x:c>
      <x:c r="C372" s="162" t="str">
        <x:f>IF(A372="","",IF(A372&gt;$F$2,"",IF(A372=$F$2,$H$2,IFERROR(LOOKUP(2,1/(($G$7:$G$106&lt;&gt;"")*($G$7:$G$106&lt;=A372)),$H$7:$H$106),""))))</x:f>
      </x:c>
      <x:c r="D372" s="162" t="str">
        <x:f>IF(C372="","",C372-B372)</x:f>
      </x:c>
      <x:c r="E372" s="163" t="str">
        <x:f>IF(D372="","",IF(D372&gt;=0,"On / Ahead",IF(D372&gt;=-0.05,"Watch","Behind")))</x:f>
      </x:c>
      <x:c r="J372"/>
      <x:c r="K372"/>
      <x:c r="L372"/>
      <x:c r="M372" t="str">
        <x:f>IF(A372="","",TEXT(A372,"mmm d"))</x:f>
      </x:c>
      <x:c r="N372" s="14" t="e">
        <x:f>IF(B372="",NA(),B372)</x:f>
        <x:v>#N/A</x:v>
      </x:c>
      <x:c r="O372" s="14" t="e">
        <x:f>IF(OR(P372="",$B$2="",$F$2="",P372&lt;$B$2,P372&gt;$F$2),NA(),IF(Q372=0,IF($F$2=$B$2,$H$2,MAX(0,MIN(1,$H$2*(3*MAX(0,MIN(1,(P372-$B$2)/($F$2-$B$2)))^2-2*MAX(0,MIN(1,(P372-$B$2)/($F$2-$B$2)))^3)))),MAX(0,MIN(1,T372+(V372-T372)*(3*W372^2-2*W372^3)))))</x:f>
        <x:v>#N/A</x:v>
      </x:c>
      <x:c r="P372" s="189" t="str">
        <x:f>A372</x:f>
      </x:c>
      <x:c r="Q372" t="n">
        <x:f>COUNT($G$7:$G$106)</x:f>
        <x:v>0</x:v>
      </x:c>
      <x:c r="R372" t="str">
        <x:f>IF(OR(P372="",$B$2="",$F$2="",P372&lt;$B$2,P372&gt;$F$2),"",IF(Q372=0,0,IF(P372&lt;$G$7,0,IF(P372&gt;=INDEX($G$7:$G$106,Q372),Q372,MATCH(P372,$G$7:$G$106,1)))))</x:f>
      </x:c>
      <x:c r="S372" t="str">
        <x:f>IF(R372="","",IF(R372=0,$B$2,INDEX($G$7:$G$106,R372)))</x:f>
      </x:c>
      <x:c r="T372" s="14" t="str">
        <x:f>IF(R372="","",IF(R372=0,0,INDEX($H$7:$H$106,R372)))</x:f>
      </x:c>
      <x:c r="U372" t="str">
        <x:f>IF(R372="","",IF(Q372=0,$F$2,IF(R372=0,$G$7,IF(R372&lt;Q372,INDEX($G$7:$G$106,R372+1),$F$2))))</x:f>
      </x:c>
      <x:c r="V372" s="14" t="str">
        <x:f>IF(R372="","",IF(Q372=0,$H$2,IF(R372=0,$H$7,IF(R372&lt;Q372,INDEX($H$7:$H$106,R372+1),$H$2))))</x:f>
      </x:c>
      <x:c r="W372" s="188" t="str">
        <x:f>IF(R372="","",IF(U372=S372,1,MAX(0,MIN(1,(P372-S372)/(U372-S372)))))</x:f>
      </x:c>
    </x:row>
    <x:row r="373">
      <x:c r="A373" s="159" t="str">
        <x:f>IF(OR(A372="",A372&gt;=$D$2),"",A372+1)</x:f>
      </x:c>
      <x:c r="B373" s="162" t="str">
        <x:f>IF(A373="","",IFERROR(SUMPRODUCT(--('Project Plan'!$A$7:$A$206&lt;&gt;""),('Project Plan'!$P$7:$P$206+('Project Plan'!$P$7:$P$206="")),--('Project Plan'!$F$7:$F$206&lt;&gt;""),--('Project Plan'!$G$7:$G$206&lt;&gt;""),((A373&gt;='Project Plan'!$G$7:$G$206)+((A373&gt;='Project Plan'!$F$7:$F$206)*(A373&lt;'Project Plan'!$G$7:$G$206)*(A373-'Project Plan'!$F$7:$F$206+1)/('Project Plan'!$G$7:$G$206-'Project Plan'!$F$7:$F$206+1))))/SUMPRODUCT(--('Project Plan'!$A$7:$A$206&lt;&gt;""),('Project Plan'!$P$7:$P$206+('Project Plan'!$P$7:$P$206=""))),0))</x:f>
      </x:c>
      <x:c r="C373" s="162" t="str">
        <x:f>IF(A373="","",IF(A373&gt;$F$2,"",IF(A373=$F$2,$H$2,IFERROR(LOOKUP(2,1/(($G$7:$G$106&lt;&gt;"")*($G$7:$G$106&lt;=A373)),$H$7:$H$106),""))))</x:f>
      </x:c>
      <x:c r="D373" s="162" t="str">
        <x:f>IF(C373="","",C373-B373)</x:f>
      </x:c>
      <x:c r="E373" s="163" t="str">
        <x:f>IF(D373="","",IF(D373&gt;=0,"On / Ahead",IF(D373&gt;=-0.05,"Watch","Behind")))</x:f>
      </x:c>
      <x:c r="J373"/>
      <x:c r="K373"/>
      <x:c r="L373"/>
      <x:c r="M373" t="str">
        <x:f>IF(A373="","",TEXT(A373,"mmm d"))</x:f>
      </x:c>
      <x:c r="N373" s="14" t="e">
        <x:f>IF(B373="",NA(),B373)</x:f>
        <x:v>#N/A</x:v>
      </x:c>
      <x:c r="O373" s="14" t="e">
        <x:f>IF(OR(P373="",$B$2="",$F$2="",P373&lt;$B$2,P373&gt;$F$2),NA(),IF(Q373=0,IF($F$2=$B$2,$H$2,MAX(0,MIN(1,$H$2*(3*MAX(0,MIN(1,(P373-$B$2)/($F$2-$B$2)))^2-2*MAX(0,MIN(1,(P373-$B$2)/($F$2-$B$2)))^3)))),MAX(0,MIN(1,T373+(V373-T373)*(3*W373^2-2*W373^3)))))</x:f>
        <x:v>#N/A</x:v>
      </x:c>
      <x:c r="P373" s="189" t="str">
        <x:f>A373</x:f>
      </x:c>
      <x:c r="Q373" t="n">
        <x:f>COUNT($G$7:$G$106)</x:f>
        <x:v>0</x:v>
      </x:c>
      <x:c r="R373" t="str">
        <x:f>IF(OR(P373="",$B$2="",$F$2="",P373&lt;$B$2,P373&gt;$F$2),"",IF(Q373=0,0,IF(P373&lt;$G$7,0,IF(P373&gt;=INDEX($G$7:$G$106,Q373),Q373,MATCH(P373,$G$7:$G$106,1)))))</x:f>
      </x:c>
      <x:c r="S373" t="str">
        <x:f>IF(R373="","",IF(R373=0,$B$2,INDEX($G$7:$G$106,R373)))</x:f>
      </x:c>
      <x:c r="T373" s="14" t="str">
        <x:f>IF(R373="","",IF(R373=0,0,INDEX($H$7:$H$106,R373)))</x:f>
      </x:c>
      <x:c r="U373" t="str">
        <x:f>IF(R373="","",IF(Q373=0,$F$2,IF(R373=0,$G$7,IF(R373&lt;Q373,INDEX($G$7:$G$106,R373+1),$F$2))))</x:f>
      </x:c>
      <x:c r="V373" s="14" t="str">
        <x:f>IF(R373="","",IF(Q373=0,$H$2,IF(R373=0,$H$7,IF(R373&lt;Q373,INDEX($H$7:$H$106,R373+1),$H$2))))</x:f>
      </x:c>
      <x:c r="W373" s="188" t="str">
        <x:f>IF(R373="","",IF(U373=S373,1,MAX(0,MIN(1,(P373-S373)/(U373-S373)))))</x:f>
      </x:c>
    </x:row>
    <x:row r="374">
      <x:c r="A374" s="159" t="str">
        <x:f>IF(OR(A373="",A373&gt;=$D$2),"",A373+1)</x:f>
      </x:c>
      <x:c r="B374" s="162" t="str">
        <x:f>IF(A374="","",IFERROR(SUMPRODUCT(--('Project Plan'!$A$7:$A$206&lt;&gt;""),('Project Plan'!$P$7:$P$206+('Project Plan'!$P$7:$P$206="")),--('Project Plan'!$F$7:$F$206&lt;&gt;""),--('Project Plan'!$G$7:$G$206&lt;&gt;""),((A374&gt;='Project Plan'!$G$7:$G$206)+((A374&gt;='Project Plan'!$F$7:$F$206)*(A374&lt;'Project Plan'!$G$7:$G$206)*(A374-'Project Plan'!$F$7:$F$206+1)/('Project Plan'!$G$7:$G$206-'Project Plan'!$F$7:$F$206+1))))/SUMPRODUCT(--('Project Plan'!$A$7:$A$206&lt;&gt;""),('Project Plan'!$P$7:$P$206+('Project Plan'!$P$7:$P$206=""))),0))</x:f>
      </x:c>
      <x:c r="C374" s="162" t="str">
        <x:f>IF(A374="","",IF(A374&gt;$F$2,"",IF(A374=$F$2,$H$2,IFERROR(LOOKUP(2,1/(($G$7:$G$106&lt;&gt;"")*($G$7:$G$106&lt;=A374)),$H$7:$H$106),""))))</x:f>
      </x:c>
      <x:c r="D374" s="162" t="str">
        <x:f>IF(C374="","",C374-B374)</x:f>
      </x:c>
      <x:c r="E374" s="163" t="str">
        <x:f>IF(D374="","",IF(D374&gt;=0,"On / Ahead",IF(D374&gt;=-0.05,"Watch","Behind")))</x:f>
      </x:c>
      <x:c r="J374"/>
      <x:c r="K374"/>
      <x:c r="L374"/>
      <x:c r="M374" t="str">
        <x:f>IF(A374="","",TEXT(A374,"mmm d"))</x:f>
      </x:c>
      <x:c r="N374" s="14" t="e">
        <x:f>IF(B374="",NA(),B374)</x:f>
        <x:v>#N/A</x:v>
      </x:c>
      <x:c r="O374" s="14" t="e">
        <x:f>IF(OR(P374="",$B$2="",$F$2="",P374&lt;$B$2,P374&gt;$F$2),NA(),IF(Q374=0,IF($F$2=$B$2,$H$2,MAX(0,MIN(1,$H$2*(3*MAX(0,MIN(1,(P374-$B$2)/($F$2-$B$2)))^2-2*MAX(0,MIN(1,(P374-$B$2)/($F$2-$B$2)))^3)))),MAX(0,MIN(1,T374+(V374-T374)*(3*W374^2-2*W374^3)))))</x:f>
        <x:v>#N/A</x:v>
      </x:c>
      <x:c r="P374" s="189" t="str">
        <x:f>A374</x:f>
      </x:c>
      <x:c r="Q374" t="n">
        <x:f>COUNT($G$7:$G$106)</x:f>
        <x:v>0</x:v>
      </x:c>
      <x:c r="R374" t="str">
        <x:f>IF(OR(P374="",$B$2="",$F$2="",P374&lt;$B$2,P374&gt;$F$2),"",IF(Q374=0,0,IF(P374&lt;$G$7,0,IF(P374&gt;=INDEX($G$7:$G$106,Q374),Q374,MATCH(P374,$G$7:$G$106,1)))))</x:f>
      </x:c>
      <x:c r="S374" t="str">
        <x:f>IF(R374="","",IF(R374=0,$B$2,INDEX($G$7:$G$106,R374)))</x:f>
      </x:c>
      <x:c r="T374" s="14" t="str">
        <x:f>IF(R374="","",IF(R374=0,0,INDEX($H$7:$H$106,R374)))</x:f>
      </x:c>
      <x:c r="U374" t="str">
        <x:f>IF(R374="","",IF(Q374=0,$F$2,IF(R374=0,$G$7,IF(R374&lt;Q374,INDEX($G$7:$G$106,R374+1),$F$2))))</x:f>
      </x:c>
      <x:c r="V374" s="14" t="str">
        <x:f>IF(R374="","",IF(Q374=0,$H$2,IF(R374=0,$H$7,IF(R374&lt;Q374,INDEX($H$7:$H$106,R374+1),$H$2))))</x:f>
      </x:c>
      <x:c r="W374" s="188" t="str">
        <x:f>IF(R374="","",IF(U374=S374,1,MAX(0,MIN(1,(P374-S374)/(U374-S374)))))</x:f>
      </x:c>
    </x:row>
    <x:row r="375">
      <x:c r="A375" s="159" t="str">
        <x:f>IF(OR(A374="",A374&gt;=$D$2),"",A374+1)</x:f>
      </x:c>
      <x:c r="B375" s="162" t="str">
        <x:f>IF(A375="","",IFERROR(SUMPRODUCT(--('Project Plan'!$A$7:$A$206&lt;&gt;""),('Project Plan'!$P$7:$P$206+('Project Plan'!$P$7:$P$206="")),--('Project Plan'!$F$7:$F$206&lt;&gt;""),--('Project Plan'!$G$7:$G$206&lt;&gt;""),((A375&gt;='Project Plan'!$G$7:$G$206)+((A375&gt;='Project Plan'!$F$7:$F$206)*(A375&lt;'Project Plan'!$G$7:$G$206)*(A375-'Project Plan'!$F$7:$F$206+1)/('Project Plan'!$G$7:$G$206-'Project Plan'!$F$7:$F$206+1))))/SUMPRODUCT(--('Project Plan'!$A$7:$A$206&lt;&gt;""),('Project Plan'!$P$7:$P$206+('Project Plan'!$P$7:$P$206=""))),0))</x:f>
      </x:c>
      <x:c r="C375" s="162" t="str">
        <x:f>IF(A375="","",IF(A375&gt;$F$2,"",IF(A375=$F$2,$H$2,IFERROR(LOOKUP(2,1/(($G$7:$G$106&lt;&gt;"")*($G$7:$G$106&lt;=A375)),$H$7:$H$106),""))))</x:f>
      </x:c>
      <x:c r="D375" s="162" t="str">
        <x:f>IF(C375="","",C375-B375)</x:f>
      </x:c>
      <x:c r="E375" s="163" t="str">
        <x:f>IF(D375="","",IF(D375&gt;=0,"On / Ahead",IF(D375&gt;=-0.05,"Watch","Behind")))</x:f>
      </x:c>
      <x:c r="J375"/>
      <x:c r="K375"/>
      <x:c r="L375"/>
      <x:c r="M375" t="str">
        <x:f>IF(A375="","",TEXT(A375,"mmm d"))</x:f>
      </x:c>
      <x:c r="N375" s="14" t="e">
        <x:f>IF(B375="",NA(),B375)</x:f>
        <x:v>#N/A</x:v>
      </x:c>
      <x:c r="O375" s="14" t="e">
        <x:f>IF(OR(P375="",$B$2="",$F$2="",P375&lt;$B$2,P375&gt;$F$2),NA(),IF(Q375=0,IF($F$2=$B$2,$H$2,MAX(0,MIN(1,$H$2*(3*MAX(0,MIN(1,(P375-$B$2)/($F$2-$B$2)))^2-2*MAX(0,MIN(1,(P375-$B$2)/($F$2-$B$2)))^3)))),MAX(0,MIN(1,T375+(V375-T375)*(3*W375^2-2*W375^3)))))</x:f>
        <x:v>#N/A</x:v>
      </x:c>
      <x:c r="P375" s="189" t="str">
        <x:f>A375</x:f>
      </x:c>
      <x:c r="Q375" t="n">
        <x:f>COUNT($G$7:$G$106)</x:f>
        <x:v>0</x:v>
      </x:c>
      <x:c r="R375" t="str">
        <x:f>IF(OR(P375="",$B$2="",$F$2="",P375&lt;$B$2,P375&gt;$F$2),"",IF(Q375=0,0,IF(P375&lt;$G$7,0,IF(P375&gt;=INDEX($G$7:$G$106,Q375),Q375,MATCH(P375,$G$7:$G$106,1)))))</x:f>
      </x:c>
      <x:c r="S375" t="str">
        <x:f>IF(R375="","",IF(R375=0,$B$2,INDEX($G$7:$G$106,R375)))</x:f>
      </x:c>
      <x:c r="T375" s="14" t="str">
        <x:f>IF(R375="","",IF(R375=0,0,INDEX($H$7:$H$106,R375)))</x:f>
      </x:c>
      <x:c r="U375" t="str">
        <x:f>IF(R375="","",IF(Q375=0,$F$2,IF(R375=0,$G$7,IF(R375&lt;Q375,INDEX($G$7:$G$106,R375+1),$F$2))))</x:f>
      </x:c>
      <x:c r="V375" s="14" t="str">
        <x:f>IF(R375="","",IF(Q375=0,$H$2,IF(R375=0,$H$7,IF(R375&lt;Q375,INDEX($H$7:$H$106,R375+1),$H$2))))</x:f>
      </x:c>
      <x:c r="W375" s="188" t="str">
        <x:f>IF(R375="","",IF(U375=S375,1,MAX(0,MIN(1,(P375-S375)/(U375-S375)))))</x:f>
      </x:c>
    </x:row>
    <x:row r="376">
      <x:c r="A376" s="159" t="str">
        <x:f>IF(OR(A375="",A375&gt;=$D$2),"",A375+1)</x:f>
      </x:c>
      <x:c r="B376" s="162" t="str">
        <x:f>IF(A376="","",IFERROR(SUMPRODUCT(--('Project Plan'!$A$7:$A$206&lt;&gt;""),('Project Plan'!$P$7:$P$206+('Project Plan'!$P$7:$P$206="")),--('Project Plan'!$F$7:$F$206&lt;&gt;""),--('Project Plan'!$G$7:$G$206&lt;&gt;""),((A376&gt;='Project Plan'!$G$7:$G$206)+((A376&gt;='Project Plan'!$F$7:$F$206)*(A376&lt;'Project Plan'!$G$7:$G$206)*(A376-'Project Plan'!$F$7:$F$206+1)/('Project Plan'!$G$7:$G$206-'Project Plan'!$F$7:$F$206+1))))/SUMPRODUCT(--('Project Plan'!$A$7:$A$206&lt;&gt;""),('Project Plan'!$P$7:$P$206+('Project Plan'!$P$7:$P$206=""))),0))</x:f>
      </x:c>
      <x:c r="C376" s="162" t="str">
        <x:f>IF(A376="","",IF(A376&gt;$F$2,"",IF(A376=$F$2,$H$2,IFERROR(LOOKUP(2,1/(($G$7:$G$106&lt;&gt;"")*($G$7:$G$106&lt;=A376)),$H$7:$H$106),""))))</x:f>
      </x:c>
      <x:c r="D376" s="162" t="str">
        <x:f>IF(C376="","",C376-B376)</x:f>
      </x:c>
      <x:c r="E376" s="163" t="str">
        <x:f>IF(D376="","",IF(D376&gt;=0,"On / Ahead",IF(D376&gt;=-0.05,"Watch","Behind")))</x:f>
      </x:c>
      <x:c r="J376"/>
      <x:c r="K376"/>
      <x:c r="L376"/>
      <x:c r="M376" t="str">
        <x:f>IF(A376="","",TEXT(A376,"mmm d"))</x:f>
      </x:c>
      <x:c r="N376" s="14" t="e">
        <x:f>IF(B376="",NA(),B376)</x:f>
        <x:v>#N/A</x:v>
      </x:c>
      <x:c r="O376" s="14" t="e">
        <x:f>IF(OR(P376="",$B$2="",$F$2="",P376&lt;$B$2,P376&gt;$F$2),NA(),IF(Q376=0,IF($F$2=$B$2,$H$2,MAX(0,MIN(1,$H$2*(3*MAX(0,MIN(1,(P376-$B$2)/($F$2-$B$2)))^2-2*MAX(0,MIN(1,(P376-$B$2)/($F$2-$B$2)))^3)))),MAX(0,MIN(1,T376+(V376-T376)*(3*W376^2-2*W376^3)))))</x:f>
        <x:v>#N/A</x:v>
      </x:c>
      <x:c r="P376" s="189" t="n">
        <x:f>A376</x:f>
        <x:v>0</x:v>
      </x:c>
      <x:c r="Q376" t="n">
        <x:f>COUNT($G$7:$G$106)</x:f>
        <x:v>0</x:v>
      </x:c>
      <x:c r="R376" t="str">
        <x:f>IF(OR(P376="",$B$2="",$F$2="",P376&lt;$B$2,P376&gt;$F$2),"",IF(Q376=0,0,IF(P376&lt;$G$7,0,IF(P376&gt;=INDEX($G$7:$G$106,Q376),Q376,MATCH(P376,$G$7:$G$106,1)))))</x:f>
      </x:c>
      <x:c r="S376" t="str">
        <x:f>IF(R376="","",IF(R376=0,$B$2,INDEX($G$7:$G$106,R376)))</x:f>
      </x:c>
      <x:c r="T376" s="14" t="str">
        <x:f>IF(R376="","",IF(R376=0,0,INDEX($H$7:$H$106,R376)))</x:f>
      </x:c>
      <x:c r="U376" t="str">
        <x:f>IF(R376="","",IF(Q376=0,$F$2,IF(R376=0,$G$7,IF(R376&lt;Q376,INDEX($G$7:$G$106,R376+1),$F$2))))</x:f>
      </x:c>
      <x:c r="V376" s="14" t="str">
        <x:f>IF(R376="","",IF(Q376=0,$H$2,IF(R376=0,$H$7,IF(R376&lt;Q376,INDEX($H$7:$H$106,R376+1),$H$2))))</x:f>
      </x:c>
      <x:c r="W376" s="188" t="str">
        <x:f>IF(R376="","",IF(U376=S376,1,MAX(0,MIN(1,(P376-S376)/(U376-S376)))))</x:f>
      </x:c>
    </x:row>
  </x:sheetData>
  <x:mergeCells>
    <x:mergeCell ref="A1:K1"/>
    <x:mergeCell ref="A4:K4"/>
  </x:mergeCells>
  <x:conditionalFormatting sqref="D7:D376">
    <x:cfRule type="expression" dxfId="12" priority="1">
      <x:formula>D7&gt;=0</x:formula>
    </x:cfRule>
    <x:cfRule type="expression" dxfId="13" priority="2">
      <x:formula>AND(D7&lt;0,D7&gt;=-0.05)</x:formula>
    </x:cfRule>
    <x:cfRule type="expression" dxfId="14" priority="3">
      <x:formula>D7&lt;-0.05</x:formula>
    </x:cfRule>
  </x:conditionalFormatting>
  <x:conditionalFormatting sqref="H7:H106">
    <x:cfRule type="expression" dxfId="15" priority="4">
      <x:formula>OR(H7&lt;0,H7&gt;1)</x:formula>
    </x:cfRule>
  </x:conditionalFormatting>
  <x:pageMargins left="0.7" right="0.7" top="0.75" bottom="0.75" header="0.3" footer="0.3"/>
</x:worksheet>
</file>